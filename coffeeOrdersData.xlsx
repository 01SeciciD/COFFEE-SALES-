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1bb799ba6a430fc0/Skrivebord/Delal's mappe/From Bachelors/Portifolio/EXCEL/"/>
    </mc:Choice>
  </mc:AlternateContent>
  <xr:revisionPtr revIDLastSave="350" documentId="13_ncr:1_{B0D38D88-24ED-46A9-978E-0BD99586DABB}" xr6:coauthVersionLast="47" xr6:coauthVersionMax="47" xr10:uidLastSave="{1A7C1E48-EA2E-4EFB-B295-85D66F0EE6AA}"/>
  <bookViews>
    <workbookView xWindow="-120" yWindow="-120" windowWidth="29040" windowHeight="15720" activeTab="5" xr2:uid="{00000000-000D-0000-FFFF-FFFF00000000}"/>
  </bookViews>
  <sheets>
    <sheet name="Dashboard" sheetId="21" r:id="rId1"/>
    <sheet name="TotalSales" sheetId="18" r:id="rId2"/>
    <sheet name="CountryBarchart" sheetId="19" r:id="rId3"/>
    <sheet name="Top 5 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22" i="17"/>
  <c r="O30" i="17"/>
  <c r="O31" i="17"/>
  <c r="O32" i="17"/>
  <c r="O35" i="17"/>
  <c r="O36" i="17"/>
  <c r="O41" i="17"/>
  <c r="O55" i="17"/>
  <c r="O64" i="17"/>
  <c r="O65" i="17"/>
  <c r="O70" i="17"/>
  <c r="O71" i="17"/>
  <c r="O72" i="17"/>
  <c r="O74" i="17"/>
  <c r="O96" i="17"/>
  <c r="O99" i="17"/>
  <c r="O100" i="17"/>
  <c r="O101" i="17"/>
  <c r="O105" i="17"/>
  <c r="O120" i="17"/>
  <c r="O130" i="17"/>
  <c r="O131" i="17"/>
  <c r="O132" i="17"/>
  <c r="O135" i="17"/>
  <c r="O136" i="17"/>
  <c r="O156" i="17"/>
  <c r="O160" i="17"/>
  <c r="O161" i="17"/>
  <c r="O162" i="17"/>
  <c r="O164" i="17"/>
  <c r="O176" i="17"/>
  <c r="O184" i="17"/>
  <c r="O185" i="17"/>
  <c r="O186" i="17"/>
  <c r="O190" i="17"/>
  <c r="O191" i="17"/>
  <c r="O205" i="17"/>
  <c r="O211" i="17"/>
  <c r="O212" i="17"/>
  <c r="O215" i="17"/>
  <c r="O216" i="17"/>
  <c r="O220" i="17"/>
  <c r="O221" i="17"/>
  <c r="O232" i="17"/>
  <c r="O240" i="17"/>
  <c r="O241" i="17"/>
  <c r="O242" i="17"/>
  <c r="O244" i="17"/>
  <c r="O245" i="17"/>
  <c r="O246" i="17"/>
  <c r="O261" i="17"/>
  <c r="O266" i="17"/>
  <c r="O270" i="17"/>
  <c r="O271" i="17"/>
  <c r="O272" i="17"/>
  <c r="O275" i="17"/>
  <c r="O295" i="17"/>
  <c r="O296" i="17"/>
  <c r="O300" i="17"/>
  <c r="O301" i="17"/>
  <c r="O302" i="17"/>
  <c r="O315" i="17"/>
  <c r="O323" i="17"/>
  <c r="O324" i="17"/>
  <c r="O325" i="17"/>
  <c r="O326" i="17"/>
  <c r="O330" i="17"/>
  <c r="O331" i="17"/>
  <c r="O350" i="17"/>
  <c r="O351" i="17"/>
  <c r="O352" i="17"/>
  <c r="O355" i="17"/>
  <c r="O356" i="17"/>
  <c r="O360" i="17"/>
  <c r="O371" i="17"/>
  <c r="O381" i="17"/>
  <c r="O382" i="17"/>
  <c r="O384" i="17"/>
  <c r="O385" i="17"/>
  <c r="O386" i="17"/>
  <c r="O400" i="17"/>
  <c r="O406" i="17"/>
  <c r="O410" i="17"/>
  <c r="O411" i="17"/>
  <c r="O412" i="17"/>
  <c r="O426" i="17"/>
  <c r="O435" i="17"/>
  <c r="O436" i="17"/>
  <c r="O440" i="17"/>
  <c r="O441" i="17"/>
  <c r="O442" i="17"/>
  <c r="O455" i="17"/>
  <c r="O462" i="17"/>
  <c r="O463" i="17"/>
  <c r="O464" i="17"/>
  <c r="O465" i="17"/>
  <c r="O466" i="17"/>
  <c r="O470" i="17"/>
  <c r="O490" i="17"/>
  <c r="O491" i="17"/>
  <c r="O495" i="17"/>
  <c r="O496" i="17"/>
  <c r="O510" i="17"/>
  <c r="O516" i="17"/>
  <c r="O520" i="17"/>
  <c r="O521" i="17"/>
  <c r="O522" i="17"/>
  <c r="O524" i="17"/>
  <c r="O525" i="17"/>
  <c r="O545" i="17"/>
  <c r="O546" i="17"/>
  <c r="O550" i="17"/>
  <c r="O551" i="17"/>
  <c r="O552" i="17"/>
  <c r="O565" i="17"/>
  <c r="O572" i="17"/>
  <c r="O575" i="17"/>
  <c r="O576" i="17"/>
  <c r="O581" i="17"/>
  <c r="O582" i="17"/>
  <c r="O594" i="17"/>
  <c r="O601" i="17"/>
  <c r="O602" i="17"/>
  <c r="O603" i="17"/>
  <c r="O605" i="17"/>
  <c r="O606" i="17"/>
  <c r="O622" i="17"/>
  <c r="O630" i="17"/>
  <c r="O631" i="17"/>
  <c r="O632" i="17"/>
  <c r="O635" i="17"/>
  <c r="O636" i="17"/>
  <c r="O656" i="17"/>
  <c r="O660" i="17"/>
  <c r="O661" i="17"/>
  <c r="O662" i="17"/>
  <c r="O663" i="17"/>
  <c r="O664" i="17"/>
  <c r="O676" i="17"/>
  <c r="O685" i="17"/>
  <c r="O686" i="17"/>
  <c r="O690" i="17"/>
  <c r="O691" i="17"/>
  <c r="O705" i="17"/>
  <c r="O711" i="17"/>
  <c r="O712" i="17"/>
  <c r="O715" i="17"/>
  <c r="O716" i="17"/>
  <c r="O720" i="17"/>
  <c r="O721" i="17"/>
  <c r="O732" i="17"/>
  <c r="O740" i="17"/>
  <c r="O741" i="17"/>
  <c r="O742" i="17"/>
  <c r="O745" i="17"/>
  <c r="O746" i="17"/>
  <c r="O760" i="17"/>
  <c r="O765" i="17"/>
  <c r="O766" i="17"/>
  <c r="O770" i="17"/>
  <c r="O771" i="17"/>
  <c r="O772" i="17"/>
  <c r="O785" i="17"/>
  <c r="O791" i="17"/>
  <c r="O795" i="17"/>
  <c r="O796" i="17"/>
  <c r="O799" i="17"/>
  <c r="O800" i="17"/>
  <c r="O801" i="17"/>
  <c r="O811" i="17"/>
  <c r="O820" i="17"/>
  <c r="O821" i="17"/>
  <c r="O822" i="17"/>
  <c r="O825" i="17"/>
  <c r="O826" i="17"/>
  <c r="O845" i="17"/>
  <c r="O846" i="17"/>
  <c r="O850" i="17"/>
  <c r="O851" i="17"/>
  <c r="O852" i="17"/>
  <c r="O864" i="17"/>
  <c r="O871" i="17"/>
  <c r="O872" i="17"/>
  <c r="O874" i="17"/>
  <c r="O875" i="17"/>
  <c r="O876" i="17"/>
  <c r="O880" i="17"/>
  <c r="O890" i="17"/>
  <c r="O900" i="17"/>
  <c r="O901" i="17"/>
  <c r="O902" i="17"/>
  <c r="O915" i="17"/>
  <c r="O922" i="17"/>
  <c r="O924" i="17"/>
  <c r="O925" i="17"/>
  <c r="O926" i="17"/>
  <c r="O928" i="17"/>
  <c r="O929" i="17"/>
  <c r="O941" i="17"/>
  <c r="O946" i="17"/>
  <c r="O950" i="17"/>
  <c r="O951" i="17"/>
  <c r="O952" i="17"/>
  <c r="O965" i="17"/>
  <c r="O971" i="17"/>
  <c r="O972" i="17"/>
  <c r="O975" i="17"/>
  <c r="O976" i="17"/>
  <c r="O979" i="17"/>
  <c r="O990" i="17"/>
  <c r="O996" i="17"/>
  <c r="O998" i="17"/>
  <c r="O999" i="17"/>
  <c r="O1000" i="17"/>
  <c r="O1001" i="17"/>
  <c r="O2" i="17"/>
  <c r="N5" i="17"/>
  <c r="N15" i="17"/>
  <c r="N20" i="17"/>
  <c r="N21" i="17"/>
  <c r="N22" i="17"/>
  <c r="N24" i="17"/>
  <c r="N25" i="17"/>
  <c r="N26" i="17"/>
  <c r="N40" i="17"/>
  <c r="N45" i="17"/>
  <c r="N46" i="17"/>
  <c r="N48" i="17"/>
  <c r="N49" i="17"/>
  <c r="N50" i="17"/>
  <c r="N51" i="17"/>
  <c r="N52" i="17"/>
  <c r="N70" i="17"/>
  <c r="N71" i="17"/>
  <c r="N72" i="17"/>
  <c r="N74" i="17"/>
  <c r="N75" i="17"/>
  <c r="N76" i="17"/>
  <c r="N89" i="17"/>
  <c r="N95" i="17"/>
  <c r="N96" i="17"/>
  <c r="N99" i="17"/>
  <c r="N100" i="17"/>
  <c r="N101" i="17"/>
  <c r="N102" i="17"/>
  <c r="N114" i="17"/>
  <c r="N120" i="17"/>
  <c r="N121" i="17"/>
  <c r="N122" i="17"/>
  <c r="N124" i="17"/>
  <c r="N125" i="17"/>
  <c r="N126" i="17"/>
  <c r="N139" i="17"/>
  <c r="N144" i="17"/>
  <c r="N145" i="17"/>
  <c r="N146" i="17"/>
  <c r="N149" i="17"/>
  <c r="N150" i="17"/>
  <c r="N152" i="17"/>
  <c r="N169" i="17"/>
  <c r="N170" i="17"/>
  <c r="N171" i="17"/>
  <c r="N172" i="17"/>
  <c r="N174" i="17"/>
  <c r="N176" i="17"/>
  <c r="N192" i="17"/>
  <c r="N195" i="17"/>
  <c r="N196" i="17"/>
  <c r="N200" i="17"/>
  <c r="N201" i="17"/>
  <c r="N202" i="17"/>
  <c r="N212" i="17"/>
  <c r="N220" i="17"/>
  <c r="N221" i="17"/>
  <c r="N224" i="17"/>
  <c r="N225" i="17"/>
  <c r="N226" i="17"/>
  <c r="N238" i="17"/>
  <c r="N242" i="17"/>
  <c r="N246" i="17"/>
  <c r="N250" i="17"/>
  <c r="N251" i="17"/>
  <c r="N262" i="17"/>
  <c r="N266" i="17"/>
  <c r="N270" i="17"/>
  <c r="N271" i="17"/>
  <c r="N272" i="17"/>
  <c r="N274" i="17"/>
  <c r="N275" i="17"/>
  <c r="N276" i="17"/>
  <c r="N286" i="17"/>
  <c r="N291" i="17"/>
  <c r="N294" i="17"/>
  <c r="N295" i="17"/>
  <c r="N296" i="17"/>
  <c r="N300" i="17"/>
  <c r="N301" i="17"/>
  <c r="N311" i="17"/>
  <c r="N320" i="17"/>
  <c r="N321" i="17"/>
  <c r="N322" i="17"/>
  <c r="N325" i="17"/>
  <c r="N336" i="17"/>
  <c r="N342" i="17"/>
  <c r="N344" i="17"/>
  <c r="N345" i="17"/>
  <c r="N346" i="17"/>
  <c r="N350" i="17"/>
  <c r="N361" i="17"/>
  <c r="N366" i="17"/>
  <c r="N370" i="17"/>
  <c r="N371" i="17"/>
  <c r="N372" i="17"/>
  <c r="N375" i="17"/>
  <c r="N385" i="17"/>
  <c r="N391" i="17"/>
  <c r="N392" i="17"/>
  <c r="N394" i="17"/>
  <c r="N395" i="17"/>
  <c r="N396" i="17"/>
  <c r="N398" i="17"/>
  <c r="N399" i="17"/>
  <c r="N400" i="17"/>
  <c r="N411" i="17"/>
  <c r="N420" i="17"/>
  <c r="N421" i="17"/>
  <c r="N422" i="17"/>
  <c r="N436" i="17"/>
  <c r="N442" i="17"/>
  <c r="N445" i="17"/>
  <c r="N446" i="17"/>
  <c r="N449" i="17"/>
  <c r="N461" i="17"/>
  <c r="N465" i="17"/>
  <c r="N466" i="17"/>
  <c r="N470" i="17"/>
  <c r="N471" i="17"/>
  <c r="N472" i="17"/>
  <c r="N490" i="17"/>
  <c r="N491" i="17"/>
  <c r="N492" i="17"/>
  <c r="N495" i="17"/>
  <c r="N496" i="17"/>
  <c r="N497" i="17"/>
  <c r="N514" i="17"/>
  <c r="N515" i="17"/>
  <c r="N516" i="17"/>
  <c r="N517" i="17"/>
  <c r="N518" i="17"/>
  <c r="N520" i="17"/>
  <c r="N531" i="17"/>
  <c r="N537" i="17"/>
  <c r="N540" i="17"/>
  <c r="N541" i="17"/>
  <c r="N542" i="17"/>
  <c r="N555" i="17"/>
  <c r="N560" i="17"/>
  <c r="N561" i="17"/>
  <c r="N562" i="17"/>
  <c r="N564" i="17"/>
  <c r="N565" i="17"/>
  <c r="N566" i="17"/>
  <c r="N578" i="17"/>
  <c r="N583" i="17"/>
  <c r="N585" i="17"/>
  <c r="N586" i="17"/>
  <c r="N590" i="17"/>
  <c r="N601" i="17"/>
  <c r="N606" i="17"/>
  <c r="N610" i="17"/>
  <c r="N611" i="17"/>
  <c r="N612" i="17"/>
  <c r="N615" i="17"/>
  <c r="N624" i="17"/>
  <c r="N630" i="17"/>
  <c r="N631" i="17"/>
  <c r="N632" i="17"/>
  <c r="N634" i="17"/>
  <c r="N635" i="17"/>
  <c r="N637" i="17"/>
  <c r="N655" i="17"/>
  <c r="N656" i="17"/>
  <c r="N657" i="17"/>
  <c r="N660" i="17"/>
  <c r="N661" i="17"/>
  <c r="N671" i="17"/>
  <c r="N676" i="17"/>
  <c r="N677" i="17"/>
  <c r="N680" i="17"/>
  <c r="N681" i="17"/>
  <c r="N682" i="17"/>
  <c r="N683" i="17"/>
  <c r="N693" i="17"/>
  <c r="N698" i="17"/>
  <c r="N701" i="17"/>
  <c r="N702" i="17"/>
  <c r="N705" i="17"/>
  <c r="N721" i="17"/>
  <c r="N722" i="17"/>
  <c r="N725" i="17"/>
  <c r="N726" i="17"/>
  <c r="N735" i="17"/>
  <c r="N741" i="17"/>
  <c r="N742" i="17"/>
  <c r="N743" i="17"/>
  <c r="N744" i="17"/>
  <c r="N745" i="17"/>
  <c r="N746" i="17"/>
  <c r="N747" i="17"/>
  <c r="N756" i="17"/>
  <c r="N762" i="17"/>
  <c r="N765" i="17"/>
  <c r="N766" i="17"/>
  <c r="N767" i="17"/>
  <c r="N777" i="17"/>
  <c r="N785" i="17"/>
  <c r="N786" i="17"/>
  <c r="N787" i="17"/>
  <c r="N789" i="17"/>
  <c r="N798" i="17"/>
  <c r="N804" i="17"/>
  <c r="N805" i="17"/>
  <c r="N806" i="17"/>
  <c r="N807" i="17"/>
  <c r="N810" i="17"/>
  <c r="N825" i="17"/>
  <c r="N826" i="17"/>
  <c r="N827" i="17"/>
  <c r="N830" i="17"/>
  <c r="N831" i="17"/>
  <c r="N841" i="17"/>
  <c r="N846" i="17"/>
  <c r="N847" i="17"/>
  <c r="N848" i="17"/>
  <c r="N849" i="17"/>
  <c r="N850" i="17"/>
  <c r="N851" i="17"/>
  <c r="N852" i="17"/>
  <c r="N862" i="17"/>
  <c r="N867" i="17"/>
  <c r="N870" i="17"/>
  <c r="N871" i="17"/>
  <c r="N872" i="17"/>
  <c r="N890" i="17"/>
  <c r="N891" i="17"/>
  <c r="N892" i="17"/>
  <c r="N894" i="17"/>
  <c r="N904" i="17"/>
  <c r="N909" i="17"/>
  <c r="N910" i="17"/>
  <c r="N911" i="17"/>
  <c r="N912" i="17"/>
  <c r="N915" i="17"/>
  <c r="N925" i="17"/>
  <c r="N930" i="17"/>
  <c r="N931" i="17"/>
  <c r="N932" i="17"/>
  <c r="N935" i="17"/>
  <c r="N936" i="17"/>
  <c r="N946" i="17"/>
  <c r="N951" i="17"/>
  <c r="N952" i="17"/>
  <c r="N953" i="17"/>
  <c r="N954" i="17"/>
  <c r="N955" i="17"/>
  <c r="N956" i="17"/>
  <c r="N957" i="17"/>
  <c r="N967" i="17"/>
  <c r="N972" i="17"/>
  <c r="N975" i="17"/>
  <c r="N976" i="17"/>
  <c r="N977" i="17"/>
  <c r="N995" i="17"/>
  <c r="N996" i="17"/>
  <c r="N997" i="17"/>
  <c r="N999" i="17"/>
  <c r="M191" i="17"/>
  <c r="M355" i="17"/>
  <c r="M740" i="17"/>
  <c r="M750" i="17"/>
  <c r="I3" i="17"/>
  <c r="N3" i="17" s="1"/>
  <c r="J3" i="17"/>
  <c r="O3" i="17" s="1"/>
  <c r="K3" i="17"/>
  <c r="L3" i="17"/>
  <c r="M3" i="17" s="1"/>
  <c r="I4" i="17"/>
  <c r="N4" i="17" s="1"/>
  <c r="J4" i="17"/>
  <c r="O4" i="17" s="1"/>
  <c r="K4" i="17"/>
  <c r="L4" i="17"/>
  <c r="M4" i="17" s="1"/>
  <c r="I5" i="17"/>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J20" i="17"/>
  <c r="O20" i="17" s="1"/>
  <c r="K20" i="17"/>
  <c r="L20" i="17"/>
  <c r="M20" i="17" s="1"/>
  <c r="I21" i="17"/>
  <c r="J21" i="17"/>
  <c r="O21" i="17" s="1"/>
  <c r="K21" i="17"/>
  <c r="L21" i="17"/>
  <c r="M21" i="17" s="1"/>
  <c r="I22" i="17"/>
  <c r="J22" i="17"/>
  <c r="K22" i="17"/>
  <c r="L22" i="17"/>
  <c r="M22" i="17" s="1"/>
  <c r="I23" i="17"/>
  <c r="N23" i="17" s="1"/>
  <c r="J23" i="17"/>
  <c r="O23" i="17" s="1"/>
  <c r="K23" i="17"/>
  <c r="L23" i="17"/>
  <c r="M23" i="17" s="1"/>
  <c r="I24" i="17"/>
  <c r="J24" i="17"/>
  <c r="O24" i="17" s="1"/>
  <c r="K24" i="17"/>
  <c r="L24" i="17"/>
  <c r="M24" i="17" s="1"/>
  <c r="I25" i="17"/>
  <c r="J25" i="17"/>
  <c r="O25" i="17" s="1"/>
  <c r="K25" i="17"/>
  <c r="L25" i="17"/>
  <c r="M25" i="17" s="1"/>
  <c r="I26" i="17"/>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K30" i="17"/>
  <c r="L30" i="17"/>
  <c r="M30" i="17" s="1"/>
  <c r="I31" i="17"/>
  <c r="N31" i="17" s="1"/>
  <c r="J31" i="17"/>
  <c r="K31" i="17"/>
  <c r="L31" i="17"/>
  <c r="M31" i="17" s="1"/>
  <c r="I32" i="17"/>
  <c r="N32" i="17" s="1"/>
  <c r="J32" i="17"/>
  <c r="K32" i="17"/>
  <c r="L32" i="17"/>
  <c r="M32" i="17" s="1"/>
  <c r="I33" i="17"/>
  <c r="N33" i="17" s="1"/>
  <c r="J33" i="17"/>
  <c r="O33" i="17" s="1"/>
  <c r="K33" i="17"/>
  <c r="L33" i="17"/>
  <c r="M33" i="17" s="1"/>
  <c r="I34" i="17"/>
  <c r="N34" i="17" s="1"/>
  <c r="J34" i="17"/>
  <c r="O34" i="17" s="1"/>
  <c r="K34" i="17"/>
  <c r="L34" i="17"/>
  <c r="M34" i="17" s="1"/>
  <c r="I35" i="17"/>
  <c r="N35" i="17" s="1"/>
  <c r="J35" i="17"/>
  <c r="K35" i="17"/>
  <c r="L35" i="17"/>
  <c r="M35" i="17" s="1"/>
  <c r="I36" i="17"/>
  <c r="N36" i="17" s="1"/>
  <c r="J36" i="17"/>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J40" i="17"/>
  <c r="O40" i="17" s="1"/>
  <c r="K40" i="17"/>
  <c r="L40" i="17"/>
  <c r="M40" i="17" s="1"/>
  <c r="I41" i="17"/>
  <c r="N41" i="17" s="1"/>
  <c r="J41" i="17"/>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J45" i="17"/>
  <c r="O45" i="17" s="1"/>
  <c r="K45" i="17"/>
  <c r="L45" i="17"/>
  <c r="M45" i="17" s="1"/>
  <c r="I46" i="17"/>
  <c r="J46" i="17"/>
  <c r="O46" i="17" s="1"/>
  <c r="K46" i="17"/>
  <c r="L46" i="17"/>
  <c r="M46" i="17" s="1"/>
  <c r="I47" i="17"/>
  <c r="N47" i="17" s="1"/>
  <c r="J47" i="17"/>
  <c r="O47" i="17" s="1"/>
  <c r="K47" i="17"/>
  <c r="L47" i="17"/>
  <c r="M47" i="17" s="1"/>
  <c r="I48" i="17"/>
  <c r="J48" i="17"/>
  <c r="O48" i="17" s="1"/>
  <c r="K48" i="17"/>
  <c r="L48" i="17"/>
  <c r="M48" i="17" s="1"/>
  <c r="I49" i="17"/>
  <c r="J49" i="17"/>
  <c r="O49" i="17" s="1"/>
  <c r="K49" i="17"/>
  <c r="L49" i="17"/>
  <c r="M49" i="17" s="1"/>
  <c r="I50" i="17"/>
  <c r="J50" i="17"/>
  <c r="O50" i="17" s="1"/>
  <c r="K50" i="17"/>
  <c r="L50" i="17"/>
  <c r="M50" i="17" s="1"/>
  <c r="I51" i="17"/>
  <c r="J51" i="17"/>
  <c r="O51" i="17" s="1"/>
  <c r="K51" i="17"/>
  <c r="L51" i="17"/>
  <c r="M51" i="17" s="1"/>
  <c r="I52" i="17"/>
  <c r="J52" i="17"/>
  <c r="O52" i="17" s="1"/>
  <c r="K52" i="17"/>
  <c r="L52" i="17"/>
  <c r="M52" i="17" s="1"/>
  <c r="I53" i="17"/>
  <c r="N53" i="17" s="1"/>
  <c r="J53" i="17"/>
  <c r="O53" i="17" s="1"/>
  <c r="K53" i="17"/>
  <c r="L53" i="17"/>
  <c r="M53" i="17" s="1"/>
  <c r="I54" i="17"/>
  <c r="N54" i="17" s="1"/>
  <c r="J54" i="17"/>
  <c r="O54" i="17" s="1"/>
  <c r="K54" i="17"/>
  <c r="L54" i="17"/>
  <c r="M54" i="17" s="1"/>
  <c r="I55" i="17"/>
  <c r="N55" i="17" s="1"/>
  <c r="J55" i="17"/>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K64" i="17"/>
  <c r="L64" i="17"/>
  <c r="M64" i="17" s="1"/>
  <c r="I65" i="17"/>
  <c r="N65" i="17" s="1"/>
  <c r="J65" i="17"/>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J70" i="17"/>
  <c r="K70" i="17"/>
  <c r="L70" i="17"/>
  <c r="M70" i="17" s="1"/>
  <c r="I71" i="17"/>
  <c r="J71" i="17"/>
  <c r="K71" i="17"/>
  <c r="L71" i="17"/>
  <c r="M71" i="17" s="1"/>
  <c r="I72" i="17"/>
  <c r="J72" i="17"/>
  <c r="K72" i="17"/>
  <c r="L72" i="17"/>
  <c r="M72" i="17" s="1"/>
  <c r="I73" i="17"/>
  <c r="N73" i="17" s="1"/>
  <c r="J73" i="17"/>
  <c r="O73" i="17" s="1"/>
  <c r="K73" i="17"/>
  <c r="L73" i="17"/>
  <c r="M73" i="17" s="1"/>
  <c r="I74" i="17"/>
  <c r="J74" i="17"/>
  <c r="K74" i="17"/>
  <c r="L74" i="17"/>
  <c r="M74" i="17" s="1"/>
  <c r="I75" i="17"/>
  <c r="J75" i="17"/>
  <c r="O75" i="17" s="1"/>
  <c r="K75" i="17"/>
  <c r="L75" i="17"/>
  <c r="M75" i="17" s="1"/>
  <c r="I76" i="17"/>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J95" i="17"/>
  <c r="O95" i="17" s="1"/>
  <c r="K95" i="17"/>
  <c r="L95" i="17"/>
  <c r="M95" i="17" s="1"/>
  <c r="I96" i="17"/>
  <c r="J96" i="17"/>
  <c r="K96" i="17"/>
  <c r="L96" i="17"/>
  <c r="M96" i="17" s="1"/>
  <c r="I97" i="17"/>
  <c r="N97" i="17" s="1"/>
  <c r="J97" i="17"/>
  <c r="O97" i="17" s="1"/>
  <c r="K97" i="17"/>
  <c r="L97" i="17"/>
  <c r="M97" i="17" s="1"/>
  <c r="I98" i="17"/>
  <c r="N98" i="17" s="1"/>
  <c r="J98" i="17"/>
  <c r="O98" i="17" s="1"/>
  <c r="K98" i="17"/>
  <c r="L98" i="17"/>
  <c r="M98" i="17" s="1"/>
  <c r="I99" i="17"/>
  <c r="J99" i="17"/>
  <c r="K99" i="17"/>
  <c r="L99" i="17"/>
  <c r="M99" i="17" s="1"/>
  <c r="I100" i="17"/>
  <c r="J100" i="17"/>
  <c r="K100" i="17"/>
  <c r="L100" i="17"/>
  <c r="M100" i="17" s="1"/>
  <c r="I101" i="17"/>
  <c r="J101" i="17"/>
  <c r="K101" i="17"/>
  <c r="L101" i="17"/>
  <c r="M101" i="17" s="1"/>
  <c r="I102" i="17"/>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J120" i="17"/>
  <c r="K120" i="17"/>
  <c r="L120" i="17"/>
  <c r="M120" i="17" s="1"/>
  <c r="I121" i="17"/>
  <c r="J121" i="17"/>
  <c r="O121" i="17" s="1"/>
  <c r="K121" i="17"/>
  <c r="L121" i="17"/>
  <c r="M121" i="17" s="1"/>
  <c r="I122" i="17"/>
  <c r="J122" i="17"/>
  <c r="O122" i="17" s="1"/>
  <c r="K122" i="17"/>
  <c r="L122" i="17"/>
  <c r="M122" i="17" s="1"/>
  <c r="I123" i="17"/>
  <c r="N123" i="17" s="1"/>
  <c r="J123" i="17"/>
  <c r="O123" i="17" s="1"/>
  <c r="K123" i="17"/>
  <c r="L123" i="17"/>
  <c r="M123" i="17" s="1"/>
  <c r="I124" i="17"/>
  <c r="J124" i="17"/>
  <c r="O124" i="17" s="1"/>
  <c r="K124" i="17"/>
  <c r="L124" i="17"/>
  <c r="M124" i="17" s="1"/>
  <c r="I125" i="17"/>
  <c r="J125" i="17"/>
  <c r="O125" i="17" s="1"/>
  <c r="K125" i="17"/>
  <c r="L125" i="17"/>
  <c r="M125" i="17" s="1"/>
  <c r="I126" i="17"/>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K130" i="17"/>
  <c r="L130" i="17"/>
  <c r="M130" i="17" s="1"/>
  <c r="I131" i="17"/>
  <c r="N131" i="17" s="1"/>
  <c r="J131" i="17"/>
  <c r="K131" i="17"/>
  <c r="L131" i="17"/>
  <c r="M131" i="17" s="1"/>
  <c r="I132" i="17"/>
  <c r="N132" i="17" s="1"/>
  <c r="J132" i="17"/>
  <c r="K132" i="17"/>
  <c r="L132" i="17"/>
  <c r="M132" i="17" s="1"/>
  <c r="I133" i="17"/>
  <c r="N133" i="17" s="1"/>
  <c r="J133" i="17"/>
  <c r="O133" i="17" s="1"/>
  <c r="K133" i="17"/>
  <c r="L133" i="17"/>
  <c r="M133" i="17" s="1"/>
  <c r="I134" i="17"/>
  <c r="N134" i="17" s="1"/>
  <c r="J134" i="17"/>
  <c r="O134" i="17" s="1"/>
  <c r="K134" i="17"/>
  <c r="L134" i="17"/>
  <c r="M134" i="17" s="1"/>
  <c r="I135" i="17"/>
  <c r="N135" i="17" s="1"/>
  <c r="J135" i="17"/>
  <c r="K135" i="17"/>
  <c r="L135" i="17"/>
  <c r="M135" i="17" s="1"/>
  <c r="I136" i="17"/>
  <c r="N136" i="17" s="1"/>
  <c r="J136" i="17"/>
  <c r="K136" i="17"/>
  <c r="L136" i="17"/>
  <c r="M136" i="17" s="1"/>
  <c r="I137" i="17"/>
  <c r="N137" i="17" s="1"/>
  <c r="J137" i="17"/>
  <c r="O137" i="17" s="1"/>
  <c r="K137" i="17"/>
  <c r="L137" i="17"/>
  <c r="M137" i="17" s="1"/>
  <c r="I138" i="17"/>
  <c r="N138" i="17" s="1"/>
  <c r="J138" i="17"/>
  <c r="O138" i="17" s="1"/>
  <c r="K138" i="17"/>
  <c r="L138" i="17"/>
  <c r="M138" i="17" s="1"/>
  <c r="I139" i="17"/>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J144" i="17"/>
  <c r="O144" i="17" s="1"/>
  <c r="K144" i="17"/>
  <c r="L144" i="17"/>
  <c r="M144" i="17" s="1"/>
  <c r="I145" i="17"/>
  <c r="J145" i="17"/>
  <c r="O145" i="17" s="1"/>
  <c r="K145" i="17"/>
  <c r="L145" i="17"/>
  <c r="M145" i="17" s="1"/>
  <c r="I146" i="17"/>
  <c r="J146" i="17"/>
  <c r="O146" i="17" s="1"/>
  <c r="K146" i="17"/>
  <c r="L146" i="17"/>
  <c r="M146" i="17" s="1"/>
  <c r="I147" i="17"/>
  <c r="N147" i="17" s="1"/>
  <c r="J147" i="17"/>
  <c r="O147" i="17" s="1"/>
  <c r="K147" i="17"/>
  <c r="L147" i="17"/>
  <c r="M147" i="17" s="1"/>
  <c r="I148" i="17"/>
  <c r="N148" i="17" s="1"/>
  <c r="J148" i="17"/>
  <c r="O148" i="17" s="1"/>
  <c r="K148" i="17"/>
  <c r="L148" i="17"/>
  <c r="M148" i="17" s="1"/>
  <c r="I149" i="17"/>
  <c r="J149" i="17"/>
  <c r="O149" i="17" s="1"/>
  <c r="K149" i="17"/>
  <c r="L149" i="17"/>
  <c r="M149" i="17" s="1"/>
  <c r="I150" i="17"/>
  <c r="J150" i="17"/>
  <c r="O150" i="17" s="1"/>
  <c r="K150" i="17"/>
  <c r="L150" i="17"/>
  <c r="M150" i="17" s="1"/>
  <c r="I151" i="17"/>
  <c r="N151" i="17" s="1"/>
  <c r="J151" i="17"/>
  <c r="O151" i="17" s="1"/>
  <c r="K151" i="17"/>
  <c r="L151" i="17"/>
  <c r="M151" i="17" s="1"/>
  <c r="I152" i="17"/>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K160" i="17"/>
  <c r="L160" i="17"/>
  <c r="M160" i="17" s="1"/>
  <c r="I161" i="17"/>
  <c r="N161" i="17" s="1"/>
  <c r="J161" i="17"/>
  <c r="K161" i="17"/>
  <c r="L161" i="17"/>
  <c r="M161" i="17" s="1"/>
  <c r="I162" i="17"/>
  <c r="N162" i="17" s="1"/>
  <c r="J162" i="17"/>
  <c r="K162" i="17"/>
  <c r="L162" i="17"/>
  <c r="M162" i="17" s="1"/>
  <c r="I163" i="17"/>
  <c r="N163" i="17" s="1"/>
  <c r="J163" i="17"/>
  <c r="O163" i="17" s="1"/>
  <c r="K163" i="17"/>
  <c r="L163" i="17"/>
  <c r="M163" i="17" s="1"/>
  <c r="I164" i="17"/>
  <c r="N164" i="17" s="1"/>
  <c r="J164" i="17"/>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J169" i="17"/>
  <c r="O169" i="17" s="1"/>
  <c r="K169" i="17"/>
  <c r="L169" i="17"/>
  <c r="M169" i="17" s="1"/>
  <c r="I170" i="17"/>
  <c r="J170" i="17"/>
  <c r="O170" i="17" s="1"/>
  <c r="K170" i="17"/>
  <c r="L170" i="17"/>
  <c r="M170" i="17" s="1"/>
  <c r="I171" i="17"/>
  <c r="J171" i="17"/>
  <c r="O171" i="17" s="1"/>
  <c r="K171" i="17"/>
  <c r="L171" i="17"/>
  <c r="M171" i="17" s="1"/>
  <c r="I172" i="17"/>
  <c r="J172" i="17"/>
  <c r="O172" i="17" s="1"/>
  <c r="K172" i="17"/>
  <c r="L172" i="17"/>
  <c r="M172" i="17" s="1"/>
  <c r="I173" i="17"/>
  <c r="N173" i="17" s="1"/>
  <c r="J173" i="17"/>
  <c r="O173" i="17" s="1"/>
  <c r="K173" i="17"/>
  <c r="L173" i="17"/>
  <c r="M173" i="17" s="1"/>
  <c r="I174" i="17"/>
  <c r="J174" i="17"/>
  <c r="O174" i="17" s="1"/>
  <c r="K174" i="17"/>
  <c r="L174" i="17"/>
  <c r="M174" i="17" s="1"/>
  <c r="I175" i="17"/>
  <c r="N175" i="17" s="1"/>
  <c r="J175" i="17"/>
  <c r="O175" i="17" s="1"/>
  <c r="K175" i="17"/>
  <c r="L175" i="17"/>
  <c r="M175" i="17" s="1"/>
  <c r="I176" i="17"/>
  <c r="J176" i="17"/>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K184" i="17"/>
  <c r="L184" i="17"/>
  <c r="M184" i="17" s="1"/>
  <c r="I185" i="17"/>
  <c r="N185" i="17" s="1"/>
  <c r="J185" i="17"/>
  <c r="K185" i="17"/>
  <c r="L185" i="17"/>
  <c r="M185" i="17" s="1"/>
  <c r="I186" i="17"/>
  <c r="N186" i="17" s="1"/>
  <c r="J186" i="17"/>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K190" i="17"/>
  <c r="L190" i="17"/>
  <c r="M190" i="17" s="1"/>
  <c r="I191" i="17"/>
  <c r="N191" i="17" s="1"/>
  <c r="J191" i="17"/>
  <c r="K191" i="17"/>
  <c r="L191" i="17"/>
  <c r="I192" i="17"/>
  <c r="J192" i="17"/>
  <c r="O192" i="17" s="1"/>
  <c r="K192" i="17"/>
  <c r="L192" i="17"/>
  <c r="M192" i="17" s="1"/>
  <c r="I193" i="17"/>
  <c r="N193" i="17" s="1"/>
  <c r="J193" i="17"/>
  <c r="O193" i="17" s="1"/>
  <c r="K193" i="17"/>
  <c r="L193" i="17"/>
  <c r="M193" i="17" s="1"/>
  <c r="I194" i="17"/>
  <c r="N194" i="17" s="1"/>
  <c r="J194" i="17"/>
  <c r="O194" i="17" s="1"/>
  <c r="K194" i="17"/>
  <c r="L194" i="17"/>
  <c r="M194" i="17" s="1"/>
  <c r="I195" i="17"/>
  <c r="J195" i="17"/>
  <c r="O195" i="17" s="1"/>
  <c r="K195" i="17"/>
  <c r="L195" i="17"/>
  <c r="M195" i="17" s="1"/>
  <c r="I196" i="17"/>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J200" i="17"/>
  <c r="O200" i="17" s="1"/>
  <c r="K200" i="17"/>
  <c r="L200" i="17"/>
  <c r="M200" i="17" s="1"/>
  <c r="I201" i="17"/>
  <c r="J201" i="17"/>
  <c r="O201" i="17" s="1"/>
  <c r="K201" i="17"/>
  <c r="L201" i="17"/>
  <c r="M201" i="17" s="1"/>
  <c r="I202" i="17"/>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K211" i="17"/>
  <c r="L211" i="17"/>
  <c r="M211" i="17" s="1"/>
  <c r="I212" i="17"/>
  <c r="J212" i="17"/>
  <c r="K212" i="17"/>
  <c r="L212" i="17"/>
  <c r="M212" i="17" s="1"/>
  <c r="I213" i="17"/>
  <c r="N213" i="17" s="1"/>
  <c r="J213" i="17"/>
  <c r="O213" i="17" s="1"/>
  <c r="K213" i="17"/>
  <c r="L213" i="17"/>
  <c r="M213" i="17" s="1"/>
  <c r="I214" i="17"/>
  <c r="N214" i="17" s="1"/>
  <c r="J214" i="17"/>
  <c r="O214" i="17" s="1"/>
  <c r="K214" i="17"/>
  <c r="L214" i="17"/>
  <c r="M214" i="17" s="1"/>
  <c r="I215" i="17"/>
  <c r="N215" i="17" s="1"/>
  <c r="J215" i="17"/>
  <c r="K215" i="17"/>
  <c r="L215" i="17"/>
  <c r="M215" i="17" s="1"/>
  <c r="I216" i="17"/>
  <c r="N216" i="17" s="1"/>
  <c r="J216" i="17"/>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J220" i="17"/>
  <c r="K220" i="17"/>
  <c r="L220" i="17"/>
  <c r="M220" i="17" s="1"/>
  <c r="I221" i="17"/>
  <c r="J221" i="17"/>
  <c r="K221" i="17"/>
  <c r="L221" i="17"/>
  <c r="M221" i="17" s="1"/>
  <c r="I222" i="17"/>
  <c r="N222" i="17" s="1"/>
  <c r="J222" i="17"/>
  <c r="O222" i="17" s="1"/>
  <c r="K222" i="17"/>
  <c r="L222" i="17"/>
  <c r="M222" i="17" s="1"/>
  <c r="I223" i="17"/>
  <c r="N223" i="17" s="1"/>
  <c r="J223" i="17"/>
  <c r="O223" i="17" s="1"/>
  <c r="K223" i="17"/>
  <c r="L223" i="17"/>
  <c r="M223" i="17" s="1"/>
  <c r="I224" i="17"/>
  <c r="J224" i="17"/>
  <c r="O224" i="17" s="1"/>
  <c r="K224" i="17"/>
  <c r="L224" i="17"/>
  <c r="M224" i="17" s="1"/>
  <c r="I225" i="17"/>
  <c r="J225" i="17"/>
  <c r="O225" i="17" s="1"/>
  <c r="K225" i="17"/>
  <c r="L225" i="17"/>
  <c r="M225" i="17" s="1"/>
  <c r="I226" i="17"/>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J238" i="17"/>
  <c r="O238" i="17" s="1"/>
  <c r="K238" i="17"/>
  <c r="L238" i="17"/>
  <c r="M238" i="17" s="1"/>
  <c r="I239" i="17"/>
  <c r="N239" i="17" s="1"/>
  <c r="J239" i="17"/>
  <c r="O239" i="17" s="1"/>
  <c r="K239" i="17"/>
  <c r="L239" i="17"/>
  <c r="M239" i="17" s="1"/>
  <c r="I240" i="17"/>
  <c r="N240" i="17" s="1"/>
  <c r="J240" i="17"/>
  <c r="K240" i="17"/>
  <c r="L240" i="17"/>
  <c r="M240" i="17" s="1"/>
  <c r="I241" i="17"/>
  <c r="N241" i="17" s="1"/>
  <c r="J241" i="17"/>
  <c r="K241" i="17"/>
  <c r="L241" i="17"/>
  <c r="M241" i="17" s="1"/>
  <c r="I242" i="17"/>
  <c r="J242" i="17"/>
  <c r="K242" i="17"/>
  <c r="L242" i="17"/>
  <c r="M242" i="17" s="1"/>
  <c r="I243" i="17"/>
  <c r="N243" i="17" s="1"/>
  <c r="J243" i="17"/>
  <c r="O243" i="17" s="1"/>
  <c r="K243" i="17"/>
  <c r="L243" i="17"/>
  <c r="M243" i="17" s="1"/>
  <c r="I244" i="17"/>
  <c r="N244" i="17" s="1"/>
  <c r="J244" i="17"/>
  <c r="K244" i="17"/>
  <c r="L244" i="17"/>
  <c r="M244" i="17" s="1"/>
  <c r="I245" i="17"/>
  <c r="N245" i="17" s="1"/>
  <c r="J245" i="17"/>
  <c r="K245" i="17"/>
  <c r="L245" i="17"/>
  <c r="M245" i="17" s="1"/>
  <c r="I246" i="17"/>
  <c r="J246" i="17"/>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J250" i="17"/>
  <c r="O250" i="17" s="1"/>
  <c r="K250" i="17"/>
  <c r="L250" i="17"/>
  <c r="M250" i="17" s="1"/>
  <c r="I251" i="17"/>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K261" i="17"/>
  <c r="L261" i="17"/>
  <c r="M261" i="17" s="1"/>
  <c r="I262" i="17"/>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J266" i="17"/>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J270" i="17"/>
  <c r="K270" i="17"/>
  <c r="L270" i="17"/>
  <c r="M270" i="17" s="1"/>
  <c r="I271" i="17"/>
  <c r="J271" i="17"/>
  <c r="K271" i="17"/>
  <c r="L271" i="17"/>
  <c r="M271" i="17" s="1"/>
  <c r="I272" i="17"/>
  <c r="J272" i="17"/>
  <c r="K272" i="17"/>
  <c r="L272" i="17"/>
  <c r="M272" i="17" s="1"/>
  <c r="I273" i="17"/>
  <c r="N273" i="17" s="1"/>
  <c r="J273" i="17"/>
  <c r="O273" i="17" s="1"/>
  <c r="K273" i="17"/>
  <c r="L273" i="17"/>
  <c r="M273" i="17" s="1"/>
  <c r="I274" i="17"/>
  <c r="J274" i="17"/>
  <c r="O274" i="17" s="1"/>
  <c r="K274" i="17"/>
  <c r="L274" i="17"/>
  <c r="M274" i="17" s="1"/>
  <c r="I275" i="17"/>
  <c r="J275" i="17"/>
  <c r="K275" i="17"/>
  <c r="L275" i="17"/>
  <c r="M275" i="17" s="1"/>
  <c r="I276" i="17"/>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J291" i="17"/>
  <c r="O291" i="17" s="1"/>
  <c r="K291" i="17"/>
  <c r="L291" i="17"/>
  <c r="M291" i="17" s="1"/>
  <c r="I292" i="17"/>
  <c r="N292" i="17" s="1"/>
  <c r="J292" i="17"/>
  <c r="O292" i="17" s="1"/>
  <c r="K292" i="17"/>
  <c r="L292" i="17"/>
  <c r="M292" i="17" s="1"/>
  <c r="I293" i="17"/>
  <c r="N293" i="17" s="1"/>
  <c r="J293" i="17"/>
  <c r="O293" i="17" s="1"/>
  <c r="K293" i="17"/>
  <c r="L293" i="17"/>
  <c r="M293" i="17" s="1"/>
  <c r="I294" i="17"/>
  <c r="J294" i="17"/>
  <c r="O294" i="17" s="1"/>
  <c r="K294" i="17"/>
  <c r="L294" i="17"/>
  <c r="M294" i="17" s="1"/>
  <c r="I295" i="17"/>
  <c r="J295" i="17"/>
  <c r="K295" i="17"/>
  <c r="L295" i="17"/>
  <c r="M295" i="17" s="1"/>
  <c r="I296" i="17"/>
  <c r="J296" i="17"/>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J300" i="17"/>
  <c r="K300" i="17"/>
  <c r="L300" i="17"/>
  <c r="M300" i="17" s="1"/>
  <c r="I301" i="17"/>
  <c r="J301" i="17"/>
  <c r="K301" i="17"/>
  <c r="L301" i="17"/>
  <c r="M301" i="17" s="1"/>
  <c r="I302" i="17"/>
  <c r="N302" i="17" s="1"/>
  <c r="J302" i="17"/>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J320" i="17"/>
  <c r="O320" i="17" s="1"/>
  <c r="K320" i="17"/>
  <c r="L320" i="17"/>
  <c r="M320" i="17" s="1"/>
  <c r="I321" i="17"/>
  <c r="J321" i="17"/>
  <c r="O321" i="17" s="1"/>
  <c r="K321" i="17"/>
  <c r="L321" i="17"/>
  <c r="M321" i="17" s="1"/>
  <c r="I322" i="17"/>
  <c r="J322" i="17"/>
  <c r="O322" i="17" s="1"/>
  <c r="K322" i="17"/>
  <c r="L322" i="17"/>
  <c r="M322" i="17" s="1"/>
  <c r="I323" i="17"/>
  <c r="N323" i="17" s="1"/>
  <c r="J323" i="17"/>
  <c r="K323" i="17"/>
  <c r="L323" i="17"/>
  <c r="M323" i="17" s="1"/>
  <c r="I324" i="17"/>
  <c r="N324" i="17" s="1"/>
  <c r="J324" i="17"/>
  <c r="K324" i="17"/>
  <c r="L324" i="17"/>
  <c r="M324" i="17" s="1"/>
  <c r="I325" i="17"/>
  <c r="J325" i="17"/>
  <c r="K325" i="17"/>
  <c r="L325" i="17"/>
  <c r="M325" i="17" s="1"/>
  <c r="I326" i="17"/>
  <c r="N326" i="17" s="1"/>
  <c r="J326" i="17"/>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K330" i="17"/>
  <c r="L330" i="17"/>
  <c r="M330" i="17" s="1"/>
  <c r="I331" i="17"/>
  <c r="N331" i="17" s="1"/>
  <c r="J331" i="17"/>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J342" i="17"/>
  <c r="O342" i="17" s="1"/>
  <c r="K342" i="17"/>
  <c r="L342" i="17"/>
  <c r="M342" i="17" s="1"/>
  <c r="I343" i="17"/>
  <c r="N343" i="17" s="1"/>
  <c r="J343" i="17"/>
  <c r="O343" i="17" s="1"/>
  <c r="K343" i="17"/>
  <c r="L343" i="17"/>
  <c r="M343" i="17" s="1"/>
  <c r="I344" i="17"/>
  <c r="J344" i="17"/>
  <c r="O344" i="17" s="1"/>
  <c r="K344" i="17"/>
  <c r="L344" i="17"/>
  <c r="M344" i="17" s="1"/>
  <c r="I345" i="17"/>
  <c r="J345" i="17"/>
  <c r="O345" i="17" s="1"/>
  <c r="K345" i="17"/>
  <c r="L345" i="17"/>
  <c r="M345" i="17" s="1"/>
  <c r="I346" i="17"/>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J350" i="17"/>
  <c r="K350" i="17"/>
  <c r="L350" i="17"/>
  <c r="M350" i="17" s="1"/>
  <c r="I351" i="17"/>
  <c r="N351" i="17" s="1"/>
  <c r="J351" i="17"/>
  <c r="K351" i="17"/>
  <c r="L351" i="17"/>
  <c r="M351" i="17" s="1"/>
  <c r="I352" i="17"/>
  <c r="N352" i="17" s="1"/>
  <c r="J352" i="17"/>
  <c r="K352" i="17"/>
  <c r="L352" i="17"/>
  <c r="M352" i="17" s="1"/>
  <c r="I353" i="17"/>
  <c r="N353" i="17" s="1"/>
  <c r="J353" i="17"/>
  <c r="O353" i="17" s="1"/>
  <c r="K353" i="17"/>
  <c r="L353" i="17"/>
  <c r="M353" i="17" s="1"/>
  <c r="I354" i="17"/>
  <c r="N354" i="17" s="1"/>
  <c r="J354" i="17"/>
  <c r="O354" i="17" s="1"/>
  <c r="K354" i="17"/>
  <c r="L354" i="17"/>
  <c r="M354" i="17" s="1"/>
  <c r="I355" i="17"/>
  <c r="N355" i="17" s="1"/>
  <c r="J355" i="17"/>
  <c r="K355" i="17"/>
  <c r="L355" i="17"/>
  <c r="I356" i="17"/>
  <c r="N356" i="17" s="1"/>
  <c r="J356" i="17"/>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K360" i="17"/>
  <c r="L360" i="17"/>
  <c r="M360" i="17" s="1"/>
  <c r="I361" i="17"/>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J370" i="17"/>
  <c r="O370" i="17" s="1"/>
  <c r="K370" i="17"/>
  <c r="L370" i="17"/>
  <c r="M370" i="17" s="1"/>
  <c r="I371" i="17"/>
  <c r="J371" i="17"/>
  <c r="K371" i="17"/>
  <c r="L371" i="17"/>
  <c r="M371" i="17" s="1"/>
  <c r="I372" i="17"/>
  <c r="J372" i="17"/>
  <c r="O372" i="17" s="1"/>
  <c r="K372" i="17"/>
  <c r="L372" i="17"/>
  <c r="M372" i="17" s="1"/>
  <c r="I373" i="17"/>
  <c r="N373" i="17" s="1"/>
  <c r="J373" i="17"/>
  <c r="O373" i="17" s="1"/>
  <c r="K373" i="17"/>
  <c r="L373" i="17"/>
  <c r="M373" i="17" s="1"/>
  <c r="I374" i="17"/>
  <c r="N374" i="17" s="1"/>
  <c r="J374" i="17"/>
  <c r="O374" i="17" s="1"/>
  <c r="K374" i="17"/>
  <c r="L374" i="17"/>
  <c r="M374" i="17" s="1"/>
  <c r="I375" i="17"/>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K381" i="17"/>
  <c r="L381" i="17"/>
  <c r="M381" i="17" s="1"/>
  <c r="I382" i="17"/>
  <c r="N382" i="17" s="1"/>
  <c r="J382" i="17"/>
  <c r="K382" i="17"/>
  <c r="L382" i="17"/>
  <c r="M382" i="17" s="1"/>
  <c r="I383" i="17"/>
  <c r="N383" i="17" s="1"/>
  <c r="J383" i="17"/>
  <c r="O383" i="17" s="1"/>
  <c r="K383" i="17"/>
  <c r="L383" i="17"/>
  <c r="M383" i="17" s="1"/>
  <c r="I384" i="17"/>
  <c r="N384" i="17" s="1"/>
  <c r="J384" i="17"/>
  <c r="K384" i="17"/>
  <c r="L384" i="17"/>
  <c r="M384" i="17" s="1"/>
  <c r="I385" i="17"/>
  <c r="J385" i="17"/>
  <c r="K385" i="17"/>
  <c r="L385" i="17"/>
  <c r="M385" i="17" s="1"/>
  <c r="I386" i="17"/>
  <c r="N386" i="17" s="1"/>
  <c r="J386" i="17"/>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J391" i="17"/>
  <c r="O391" i="17" s="1"/>
  <c r="K391" i="17"/>
  <c r="L391" i="17"/>
  <c r="M391" i="17" s="1"/>
  <c r="I392" i="17"/>
  <c r="J392" i="17"/>
  <c r="O392" i="17" s="1"/>
  <c r="K392" i="17"/>
  <c r="L392" i="17"/>
  <c r="M392" i="17" s="1"/>
  <c r="I393" i="17"/>
  <c r="N393" i="17" s="1"/>
  <c r="J393" i="17"/>
  <c r="O393" i="17" s="1"/>
  <c r="K393" i="17"/>
  <c r="L393" i="17"/>
  <c r="M393" i="17" s="1"/>
  <c r="I394" i="17"/>
  <c r="J394" i="17"/>
  <c r="O394" i="17" s="1"/>
  <c r="K394" i="17"/>
  <c r="L394" i="17"/>
  <c r="M394" i="17" s="1"/>
  <c r="I395" i="17"/>
  <c r="J395" i="17"/>
  <c r="O395" i="17" s="1"/>
  <c r="K395" i="17"/>
  <c r="L395" i="17"/>
  <c r="M395" i="17" s="1"/>
  <c r="I396" i="17"/>
  <c r="J396" i="17"/>
  <c r="O396" i="17" s="1"/>
  <c r="K396" i="17"/>
  <c r="L396" i="17"/>
  <c r="M396" i="17" s="1"/>
  <c r="I397" i="17"/>
  <c r="N397" i="17" s="1"/>
  <c r="J397" i="17"/>
  <c r="O397" i="17" s="1"/>
  <c r="K397" i="17"/>
  <c r="L397" i="17"/>
  <c r="M397" i="17" s="1"/>
  <c r="I398" i="17"/>
  <c r="J398" i="17"/>
  <c r="O398" i="17" s="1"/>
  <c r="K398" i="17"/>
  <c r="L398" i="17"/>
  <c r="M398" i="17" s="1"/>
  <c r="I399" i="17"/>
  <c r="J399" i="17"/>
  <c r="O399" i="17" s="1"/>
  <c r="K399" i="17"/>
  <c r="L399" i="17"/>
  <c r="M399" i="17" s="1"/>
  <c r="I400" i="17"/>
  <c r="J400" i="17"/>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K410" i="17"/>
  <c r="L410" i="17"/>
  <c r="M410" i="17" s="1"/>
  <c r="I411" i="17"/>
  <c r="J411" i="17"/>
  <c r="K411" i="17"/>
  <c r="L411" i="17"/>
  <c r="M411" i="17" s="1"/>
  <c r="I412" i="17"/>
  <c r="N412" i="17" s="1"/>
  <c r="J412" i="17"/>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J420" i="17"/>
  <c r="O420" i="17" s="1"/>
  <c r="K420" i="17"/>
  <c r="L420" i="17"/>
  <c r="M420" i="17" s="1"/>
  <c r="I421" i="17"/>
  <c r="J421" i="17"/>
  <c r="O421" i="17" s="1"/>
  <c r="K421" i="17"/>
  <c r="L421" i="17"/>
  <c r="M421" i="17" s="1"/>
  <c r="I422" i="17"/>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K435" i="17"/>
  <c r="L435" i="17"/>
  <c r="M435" i="17" s="1"/>
  <c r="I436" i="17"/>
  <c r="J436" i="17"/>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K440" i="17"/>
  <c r="L440" i="17"/>
  <c r="M440" i="17" s="1"/>
  <c r="I441" i="17"/>
  <c r="N441" i="17" s="1"/>
  <c r="J441" i="17"/>
  <c r="K441" i="17"/>
  <c r="L441" i="17"/>
  <c r="M441" i="17" s="1"/>
  <c r="I442" i="17"/>
  <c r="J442" i="17"/>
  <c r="K442" i="17"/>
  <c r="L442" i="17"/>
  <c r="M442" i="17" s="1"/>
  <c r="I443" i="17"/>
  <c r="N443" i="17" s="1"/>
  <c r="J443" i="17"/>
  <c r="O443" i="17" s="1"/>
  <c r="K443" i="17"/>
  <c r="L443" i="17"/>
  <c r="M443" i="17" s="1"/>
  <c r="I444" i="17"/>
  <c r="N444" i="17" s="1"/>
  <c r="J444" i="17"/>
  <c r="O444" i="17" s="1"/>
  <c r="K444" i="17"/>
  <c r="L444" i="17"/>
  <c r="M444" i="17" s="1"/>
  <c r="I445" i="17"/>
  <c r="J445" i="17"/>
  <c r="O445" i="17" s="1"/>
  <c r="K445" i="17"/>
  <c r="L445" i="17"/>
  <c r="M445" i="17" s="1"/>
  <c r="I446" i="17"/>
  <c r="J446" i="17"/>
  <c r="O446" i="17" s="1"/>
  <c r="K446" i="17"/>
  <c r="L446" i="17"/>
  <c r="M446" i="17" s="1"/>
  <c r="I447" i="17"/>
  <c r="N447" i="17" s="1"/>
  <c r="J447" i="17"/>
  <c r="O447" i="17" s="1"/>
  <c r="K447" i="17"/>
  <c r="L447" i="17"/>
  <c r="M447" i="17" s="1"/>
  <c r="I448" i="17"/>
  <c r="N448" i="17" s="1"/>
  <c r="J448" i="17"/>
  <c r="O448" i="17" s="1"/>
  <c r="K448" i="17"/>
  <c r="L448" i="17"/>
  <c r="M448" i="17" s="1"/>
  <c r="I449" i="17"/>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J461" i="17"/>
  <c r="O461" i="17" s="1"/>
  <c r="K461" i="17"/>
  <c r="L461" i="17"/>
  <c r="M461" i="17" s="1"/>
  <c r="I462" i="17"/>
  <c r="N462" i="17" s="1"/>
  <c r="J462" i="17"/>
  <c r="K462" i="17"/>
  <c r="L462" i="17"/>
  <c r="M462" i="17" s="1"/>
  <c r="I463" i="17"/>
  <c r="N463" i="17" s="1"/>
  <c r="J463" i="17"/>
  <c r="K463" i="17"/>
  <c r="L463" i="17"/>
  <c r="M463" i="17" s="1"/>
  <c r="I464" i="17"/>
  <c r="N464" i="17" s="1"/>
  <c r="J464" i="17"/>
  <c r="K464" i="17"/>
  <c r="L464" i="17"/>
  <c r="M464" i="17" s="1"/>
  <c r="I465" i="17"/>
  <c r="J465" i="17"/>
  <c r="K465" i="17"/>
  <c r="L465" i="17"/>
  <c r="M465" i="17" s="1"/>
  <c r="I466" i="17"/>
  <c r="J466" i="17"/>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J470" i="17"/>
  <c r="K470" i="17"/>
  <c r="L470" i="17"/>
  <c r="M470" i="17" s="1"/>
  <c r="I471" i="17"/>
  <c r="J471" i="17"/>
  <c r="O471" i="17" s="1"/>
  <c r="K471" i="17"/>
  <c r="L471" i="17"/>
  <c r="M471" i="17" s="1"/>
  <c r="I472" i="17"/>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J490" i="17"/>
  <c r="K490" i="17"/>
  <c r="L490" i="17"/>
  <c r="M490" i="17" s="1"/>
  <c r="I491" i="17"/>
  <c r="J491" i="17"/>
  <c r="K491" i="17"/>
  <c r="L491" i="17"/>
  <c r="M491" i="17" s="1"/>
  <c r="I492" i="17"/>
  <c r="J492" i="17"/>
  <c r="O492" i="17" s="1"/>
  <c r="K492" i="17"/>
  <c r="L492" i="17"/>
  <c r="M492" i="17" s="1"/>
  <c r="I493" i="17"/>
  <c r="N493" i="17" s="1"/>
  <c r="J493" i="17"/>
  <c r="O493" i="17" s="1"/>
  <c r="K493" i="17"/>
  <c r="L493" i="17"/>
  <c r="M493" i="17" s="1"/>
  <c r="I494" i="17"/>
  <c r="N494" i="17" s="1"/>
  <c r="J494" i="17"/>
  <c r="O494" i="17" s="1"/>
  <c r="K494" i="17"/>
  <c r="L494" i="17"/>
  <c r="M494" i="17" s="1"/>
  <c r="I495" i="17"/>
  <c r="J495" i="17"/>
  <c r="K495" i="17"/>
  <c r="L495" i="17"/>
  <c r="M495" i="17" s="1"/>
  <c r="I496" i="17"/>
  <c r="J496" i="17"/>
  <c r="K496" i="17"/>
  <c r="L496" i="17"/>
  <c r="M496" i="17" s="1"/>
  <c r="I497" i="17"/>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J514" i="17"/>
  <c r="O514" i="17" s="1"/>
  <c r="K514" i="17"/>
  <c r="L514" i="17"/>
  <c r="M514" i="17" s="1"/>
  <c r="I515" i="17"/>
  <c r="J515" i="17"/>
  <c r="O515" i="17" s="1"/>
  <c r="K515" i="17"/>
  <c r="L515" i="17"/>
  <c r="M515" i="17" s="1"/>
  <c r="I516" i="17"/>
  <c r="J516" i="17"/>
  <c r="K516" i="17"/>
  <c r="L516" i="17"/>
  <c r="M516" i="17" s="1"/>
  <c r="I517" i="17"/>
  <c r="J517" i="17"/>
  <c r="O517" i="17" s="1"/>
  <c r="K517" i="17"/>
  <c r="L517" i="17"/>
  <c r="M517" i="17" s="1"/>
  <c r="I518" i="17"/>
  <c r="J518" i="17"/>
  <c r="O518" i="17" s="1"/>
  <c r="K518" i="17"/>
  <c r="L518" i="17"/>
  <c r="M518" i="17" s="1"/>
  <c r="I519" i="17"/>
  <c r="N519" i="17" s="1"/>
  <c r="J519" i="17"/>
  <c r="O519" i="17" s="1"/>
  <c r="K519" i="17"/>
  <c r="L519" i="17"/>
  <c r="M519" i="17" s="1"/>
  <c r="I520" i="17"/>
  <c r="J520" i="17"/>
  <c r="K520" i="17"/>
  <c r="L520" i="17"/>
  <c r="M520" i="17" s="1"/>
  <c r="I521" i="17"/>
  <c r="N521" i="17" s="1"/>
  <c r="J521" i="17"/>
  <c r="K521" i="17"/>
  <c r="L521" i="17"/>
  <c r="M521" i="17" s="1"/>
  <c r="I522" i="17"/>
  <c r="N522" i="17" s="1"/>
  <c r="J522" i="17"/>
  <c r="K522" i="17"/>
  <c r="L522" i="17"/>
  <c r="M522" i="17" s="1"/>
  <c r="I523" i="17"/>
  <c r="N523" i="17" s="1"/>
  <c r="J523" i="17"/>
  <c r="O523" i="17" s="1"/>
  <c r="K523" i="17"/>
  <c r="L523" i="17"/>
  <c r="M523" i="17" s="1"/>
  <c r="I524" i="17"/>
  <c r="N524" i="17" s="1"/>
  <c r="J524" i="17"/>
  <c r="K524" i="17"/>
  <c r="L524" i="17"/>
  <c r="M524" i="17" s="1"/>
  <c r="I525" i="17"/>
  <c r="N525" i="17" s="1"/>
  <c r="J525" i="17"/>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J537" i="17"/>
  <c r="O537" i="17" s="1"/>
  <c r="K537" i="17"/>
  <c r="L537" i="17"/>
  <c r="M537" i="17" s="1"/>
  <c r="I538" i="17"/>
  <c r="N538" i="17" s="1"/>
  <c r="J538" i="17"/>
  <c r="O538" i="17" s="1"/>
  <c r="K538" i="17"/>
  <c r="L538" i="17"/>
  <c r="M538" i="17" s="1"/>
  <c r="I539" i="17"/>
  <c r="N539" i="17" s="1"/>
  <c r="J539" i="17"/>
  <c r="O539" i="17" s="1"/>
  <c r="K539" i="17"/>
  <c r="L539" i="17"/>
  <c r="M539" i="17" s="1"/>
  <c r="I540" i="17"/>
  <c r="J540" i="17"/>
  <c r="O540" i="17" s="1"/>
  <c r="K540" i="17"/>
  <c r="L540" i="17"/>
  <c r="M540" i="17" s="1"/>
  <c r="I541" i="17"/>
  <c r="J541" i="17"/>
  <c r="O541" i="17" s="1"/>
  <c r="K541" i="17"/>
  <c r="L541" i="17"/>
  <c r="M541" i="17" s="1"/>
  <c r="I542" i="17"/>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K545" i="17"/>
  <c r="L545" i="17"/>
  <c r="M545" i="17" s="1"/>
  <c r="I546" i="17"/>
  <c r="N546" i="17" s="1"/>
  <c r="J546" i="17"/>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K550" i="17"/>
  <c r="L550" i="17"/>
  <c r="M550" i="17" s="1"/>
  <c r="I551" i="17"/>
  <c r="N551" i="17" s="1"/>
  <c r="J551" i="17"/>
  <c r="K551" i="17"/>
  <c r="L551" i="17"/>
  <c r="M551" i="17" s="1"/>
  <c r="I552" i="17"/>
  <c r="N552" i="17" s="1"/>
  <c r="J552" i="17"/>
  <c r="K552" i="17"/>
  <c r="L552" i="17"/>
  <c r="M552" i="17" s="1"/>
  <c r="I553" i="17"/>
  <c r="N553" i="17" s="1"/>
  <c r="J553" i="17"/>
  <c r="O553" i="17" s="1"/>
  <c r="K553" i="17"/>
  <c r="L553" i="17"/>
  <c r="M553" i="17" s="1"/>
  <c r="I554" i="17"/>
  <c r="N554" i="17" s="1"/>
  <c r="J554" i="17"/>
  <c r="O554" i="17" s="1"/>
  <c r="K554" i="17"/>
  <c r="L554" i="17"/>
  <c r="M554" i="17" s="1"/>
  <c r="I555" i="17"/>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J560" i="17"/>
  <c r="O560" i="17" s="1"/>
  <c r="K560" i="17"/>
  <c r="L560" i="17"/>
  <c r="M560" i="17" s="1"/>
  <c r="I561" i="17"/>
  <c r="J561" i="17"/>
  <c r="O561" i="17" s="1"/>
  <c r="K561" i="17"/>
  <c r="L561" i="17"/>
  <c r="M561" i="17" s="1"/>
  <c r="I562" i="17"/>
  <c r="J562" i="17"/>
  <c r="O562" i="17" s="1"/>
  <c r="K562" i="17"/>
  <c r="L562" i="17"/>
  <c r="M562" i="17" s="1"/>
  <c r="I563" i="17"/>
  <c r="N563" i="17" s="1"/>
  <c r="J563" i="17"/>
  <c r="O563" i="17" s="1"/>
  <c r="K563" i="17"/>
  <c r="L563" i="17"/>
  <c r="M563" i="17" s="1"/>
  <c r="I564" i="17"/>
  <c r="J564" i="17"/>
  <c r="O564" i="17" s="1"/>
  <c r="K564" i="17"/>
  <c r="L564" i="17"/>
  <c r="M564" i="17" s="1"/>
  <c r="I565" i="17"/>
  <c r="J565" i="17"/>
  <c r="K565" i="17"/>
  <c r="L565" i="17"/>
  <c r="M565" i="17" s="1"/>
  <c r="I566" i="17"/>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K572" i="17"/>
  <c r="L572" i="17"/>
  <c r="M572" i="17" s="1"/>
  <c r="I573" i="17"/>
  <c r="N573" i="17" s="1"/>
  <c r="J573" i="17"/>
  <c r="O573" i="17" s="1"/>
  <c r="K573" i="17"/>
  <c r="L573" i="17"/>
  <c r="M573" i="17" s="1"/>
  <c r="I574" i="17"/>
  <c r="N574" i="17" s="1"/>
  <c r="J574" i="17"/>
  <c r="O574" i="17" s="1"/>
  <c r="K574" i="17"/>
  <c r="L574" i="17"/>
  <c r="M574" i="17" s="1"/>
  <c r="I575" i="17"/>
  <c r="N575" i="17" s="1"/>
  <c r="J575" i="17"/>
  <c r="K575" i="17"/>
  <c r="L575" i="17"/>
  <c r="M575" i="17" s="1"/>
  <c r="I576" i="17"/>
  <c r="N576" i="17" s="1"/>
  <c r="J576" i="17"/>
  <c r="K576" i="17"/>
  <c r="L576" i="17"/>
  <c r="M576" i="17" s="1"/>
  <c r="I577" i="17"/>
  <c r="N577" i="17" s="1"/>
  <c r="J577" i="17"/>
  <c r="O577" i="17" s="1"/>
  <c r="K577" i="17"/>
  <c r="L577" i="17"/>
  <c r="M577" i="17" s="1"/>
  <c r="I578" i="17"/>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K581" i="17"/>
  <c r="L581" i="17"/>
  <c r="M581" i="17" s="1"/>
  <c r="I582" i="17"/>
  <c r="N582" i="17" s="1"/>
  <c r="J582" i="17"/>
  <c r="K582" i="17"/>
  <c r="L582" i="17"/>
  <c r="M582" i="17" s="1"/>
  <c r="I583" i="17"/>
  <c r="J583" i="17"/>
  <c r="O583" i="17" s="1"/>
  <c r="K583" i="17"/>
  <c r="L583" i="17"/>
  <c r="M583" i="17" s="1"/>
  <c r="I584" i="17"/>
  <c r="N584" i="17" s="1"/>
  <c r="J584" i="17"/>
  <c r="O584" i="17" s="1"/>
  <c r="K584" i="17"/>
  <c r="L584" i="17"/>
  <c r="M584" i="17" s="1"/>
  <c r="I585" i="17"/>
  <c r="J585" i="17"/>
  <c r="O585" i="17" s="1"/>
  <c r="K585" i="17"/>
  <c r="L585" i="17"/>
  <c r="M585" i="17" s="1"/>
  <c r="I586" i="17"/>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J601" i="17"/>
  <c r="K601" i="17"/>
  <c r="L601" i="17"/>
  <c r="M601" i="17" s="1"/>
  <c r="I602" i="17"/>
  <c r="N602" i="17" s="1"/>
  <c r="J602" i="17"/>
  <c r="K602" i="17"/>
  <c r="L602" i="17"/>
  <c r="M602" i="17" s="1"/>
  <c r="I603" i="17"/>
  <c r="N603" i="17" s="1"/>
  <c r="J603" i="17"/>
  <c r="K603" i="17"/>
  <c r="L603" i="17"/>
  <c r="M603" i="17" s="1"/>
  <c r="I604" i="17"/>
  <c r="N604" i="17" s="1"/>
  <c r="J604" i="17"/>
  <c r="O604" i="17" s="1"/>
  <c r="K604" i="17"/>
  <c r="L604" i="17"/>
  <c r="M604" i="17" s="1"/>
  <c r="I605" i="17"/>
  <c r="N605" i="17" s="1"/>
  <c r="J605" i="17"/>
  <c r="K605" i="17"/>
  <c r="L605" i="17"/>
  <c r="M605" i="17" s="1"/>
  <c r="I606" i="17"/>
  <c r="J606" i="17"/>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J610" i="17"/>
  <c r="O610" i="17" s="1"/>
  <c r="K610" i="17"/>
  <c r="L610" i="17"/>
  <c r="M610" i="17" s="1"/>
  <c r="I611" i="17"/>
  <c r="J611" i="17"/>
  <c r="O611" i="17" s="1"/>
  <c r="K611" i="17"/>
  <c r="L611" i="17"/>
  <c r="M611" i="17" s="1"/>
  <c r="I612" i="17"/>
  <c r="J612" i="17"/>
  <c r="O612" i="17" s="1"/>
  <c r="K612" i="17"/>
  <c r="L612" i="17"/>
  <c r="M612" i="17" s="1"/>
  <c r="I613" i="17"/>
  <c r="N613" i="17" s="1"/>
  <c r="J613" i="17"/>
  <c r="O613" i="17" s="1"/>
  <c r="K613" i="17"/>
  <c r="L613" i="17"/>
  <c r="M613" i="17" s="1"/>
  <c r="I614" i="17"/>
  <c r="N614" i="17" s="1"/>
  <c r="J614" i="17"/>
  <c r="O614" i="17" s="1"/>
  <c r="K614" i="17"/>
  <c r="L614" i="17"/>
  <c r="M614" i="17" s="1"/>
  <c r="I615" i="17"/>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K622" i="17"/>
  <c r="L622" i="17"/>
  <c r="M622" i="17" s="1"/>
  <c r="I623" i="17"/>
  <c r="N623" i="17" s="1"/>
  <c r="J623" i="17"/>
  <c r="O623" i="17" s="1"/>
  <c r="K623" i="17"/>
  <c r="L623" i="17"/>
  <c r="M623" i="17" s="1"/>
  <c r="I624" i="17"/>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J630" i="17"/>
  <c r="K630" i="17"/>
  <c r="L630" i="17"/>
  <c r="M630" i="17" s="1"/>
  <c r="I631" i="17"/>
  <c r="J631" i="17"/>
  <c r="K631" i="17"/>
  <c r="L631" i="17"/>
  <c r="M631" i="17" s="1"/>
  <c r="I632" i="17"/>
  <c r="J632" i="17"/>
  <c r="K632" i="17"/>
  <c r="L632" i="17"/>
  <c r="M632" i="17" s="1"/>
  <c r="I633" i="17"/>
  <c r="N633" i="17" s="1"/>
  <c r="J633" i="17"/>
  <c r="O633" i="17" s="1"/>
  <c r="K633" i="17"/>
  <c r="L633" i="17"/>
  <c r="M633" i="17" s="1"/>
  <c r="I634" i="17"/>
  <c r="J634" i="17"/>
  <c r="O634" i="17" s="1"/>
  <c r="K634" i="17"/>
  <c r="L634" i="17"/>
  <c r="M634" i="17" s="1"/>
  <c r="I635" i="17"/>
  <c r="J635" i="17"/>
  <c r="K635" i="17"/>
  <c r="L635" i="17"/>
  <c r="M635" i="17" s="1"/>
  <c r="I636" i="17"/>
  <c r="N636" i="17" s="1"/>
  <c r="J636" i="17"/>
  <c r="K636" i="17"/>
  <c r="L636" i="17"/>
  <c r="M636" i="17" s="1"/>
  <c r="I637" i="17"/>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J655" i="17"/>
  <c r="O655" i="17" s="1"/>
  <c r="K655" i="17"/>
  <c r="L655" i="17"/>
  <c r="M655" i="17" s="1"/>
  <c r="I656" i="17"/>
  <c r="J656" i="17"/>
  <c r="K656" i="17"/>
  <c r="L656" i="17"/>
  <c r="M656" i="17" s="1"/>
  <c r="I657" i="17"/>
  <c r="J657" i="17"/>
  <c r="O657" i="17" s="1"/>
  <c r="K657" i="17"/>
  <c r="L657" i="17"/>
  <c r="M657" i="17" s="1"/>
  <c r="I658" i="17"/>
  <c r="N658" i="17" s="1"/>
  <c r="J658" i="17"/>
  <c r="O658" i="17" s="1"/>
  <c r="K658" i="17"/>
  <c r="L658" i="17"/>
  <c r="M658" i="17" s="1"/>
  <c r="I659" i="17"/>
  <c r="N659" i="17" s="1"/>
  <c r="J659" i="17"/>
  <c r="O659" i="17" s="1"/>
  <c r="K659" i="17"/>
  <c r="L659" i="17"/>
  <c r="M659" i="17" s="1"/>
  <c r="I660" i="17"/>
  <c r="J660" i="17"/>
  <c r="K660" i="17"/>
  <c r="L660" i="17"/>
  <c r="M660" i="17" s="1"/>
  <c r="I661" i="17"/>
  <c r="J661" i="17"/>
  <c r="K661" i="17"/>
  <c r="L661" i="17"/>
  <c r="M661" i="17" s="1"/>
  <c r="I662" i="17"/>
  <c r="N662" i="17" s="1"/>
  <c r="J662" i="17"/>
  <c r="K662" i="17"/>
  <c r="L662" i="17"/>
  <c r="M662" i="17" s="1"/>
  <c r="I663" i="17"/>
  <c r="N663" i="17" s="1"/>
  <c r="J663" i="17"/>
  <c r="K663" i="17"/>
  <c r="L663" i="17"/>
  <c r="M663" i="17" s="1"/>
  <c r="I664" i="17"/>
  <c r="N664" i="17" s="1"/>
  <c r="J664" i="17"/>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J676" i="17"/>
  <c r="K676" i="17"/>
  <c r="L676" i="17"/>
  <c r="M676" i="17" s="1"/>
  <c r="I677" i="17"/>
  <c r="J677" i="17"/>
  <c r="O677" i="17" s="1"/>
  <c r="K677" i="17"/>
  <c r="L677" i="17"/>
  <c r="M677" i="17" s="1"/>
  <c r="I678" i="17"/>
  <c r="N678" i="17" s="1"/>
  <c r="J678" i="17"/>
  <c r="O678" i="17" s="1"/>
  <c r="K678" i="17"/>
  <c r="L678" i="17"/>
  <c r="M678" i="17" s="1"/>
  <c r="I679" i="17"/>
  <c r="N679" i="17" s="1"/>
  <c r="J679" i="17"/>
  <c r="O679" i="17" s="1"/>
  <c r="K679" i="17"/>
  <c r="L679" i="17"/>
  <c r="M679" i="17" s="1"/>
  <c r="I680" i="17"/>
  <c r="J680" i="17"/>
  <c r="O680" i="17" s="1"/>
  <c r="K680" i="17"/>
  <c r="L680" i="17"/>
  <c r="M680" i="17" s="1"/>
  <c r="I681" i="17"/>
  <c r="J681" i="17"/>
  <c r="O681" i="17" s="1"/>
  <c r="K681" i="17"/>
  <c r="L681" i="17"/>
  <c r="M681" i="17" s="1"/>
  <c r="I682" i="17"/>
  <c r="J682" i="17"/>
  <c r="O682" i="17" s="1"/>
  <c r="K682" i="17"/>
  <c r="L682" i="17"/>
  <c r="M682" i="17" s="1"/>
  <c r="I683" i="17"/>
  <c r="J683" i="17"/>
  <c r="O683" i="17" s="1"/>
  <c r="K683" i="17"/>
  <c r="L683" i="17"/>
  <c r="M683" i="17" s="1"/>
  <c r="I684" i="17"/>
  <c r="N684" i="17" s="1"/>
  <c r="J684" i="17"/>
  <c r="O684" i="17" s="1"/>
  <c r="K684" i="17"/>
  <c r="L684" i="17"/>
  <c r="M684" i="17" s="1"/>
  <c r="I685" i="17"/>
  <c r="N685" i="17" s="1"/>
  <c r="J685" i="17"/>
  <c r="K685" i="17"/>
  <c r="L685" i="17"/>
  <c r="M685" i="17" s="1"/>
  <c r="I686" i="17"/>
  <c r="N686" i="17" s="1"/>
  <c r="J686" i="17"/>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K690" i="17"/>
  <c r="L690" i="17"/>
  <c r="M690" i="17" s="1"/>
  <c r="I691" i="17"/>
  <c r="N691" i="17" s="1"/>
  <c r="J691" i="17"/>
  <c r="K691" i="17"/>
  <c r="L691" i="17"/>
  <c r="M691" i="17" s="1"/>
  <c r="I692" i="17"/>
  <c r="N692" i="17" s="1"/>
  <c r="J692" i="17"/>
  <c r="O692" i="17" s="1"/>
  <c r="K692" i="17"/>
  <c r="L692" i="17"/>
  <c r="M692" i="17" s="1"/>
  <c r="I693" i="17"/>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J698" i="17"/>
  <c r="O698" i="17" s="1"/>
  <c r="K698" i="17"/>
  <c r="L698" i="17"/>
  <c r="M698" i="17" s="1"/>
  <c r="I699" i="17"/>
  <c r="N699" i="17" s="1"/>
  <c r="J699" i="17"/>
  <c r="O699" i="17" s="1"/>
  <c r="K699" i="17"/>
  <c r="L699" i="17"/>
  <c r="M699" i="17" s="1"/>
  <c r="I700" i="17"/>
  <c r="N700" i="17" s="1"/>
  <c r="J700" i="17"/>
  <c r="O700" i="17" s="1"/>
  <c r="K700" i="17"/>
  <c r="L700" i="17"/>
  <c r="M700" i="17" s="1"/>
  <c r="I701" i="17"/>
  <c r="J701" i="17"/>
  <c r="O701" i="17" s="1"/>
  <c r="K701" i="17"/>
  <c r="L701" i="17"/>
  <c r="M701" i="17" s="1"/>
  <c r="I702" i="17"/>
  <c r="J702" i="17"/>
  <c r="O702" i="17" s="1"/>
  <c r="K702" i="17"/>
  <c r="L702" i="17"/>
  <c r="M702" i="17" s="1"/>
  <c r="I703" i="17"/>
  <c r="N703" i="17" s="1"/>
  <c r="J703" i="17"/>
  <c r="O703" i="17" s="1"/>
  <c r="K703" i="17"/>
  <c r="L703" i="17"/>
  <c r="M703" i="17" s="1"/>
  <c r="I704" i="17"/>
  <c r="N704" i="17" s="1"/>
  <c r="J704" i="17"/>
  <c r="O704" i="17" s="1"/>
  <c r="K704" i="17"/>
  <c r="L704" i="17"/>
  <c r="M704" i="17" s="1"/>
  <c r="I705" i="17"/>
  <c r="J705" i="17"/>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K711" i="17"/>
  <c r="L711" i="17"/>
  <c r="M711" i="17" s="1"/>
  <c r="I712" i="17"/>
  <c r="N712" i="17" s="1"/>
  <c r="J712" i="17"/>
  <c r="K712" i="17"/>
  <c r="L712" i="17"/>
  <c r="M712" i="17" s="1"/>
  <c r="I713" i="17"/>
  <c r="N713" i="17" s="1"/>
  <c r="J713" i="17"/>
  <c r="O713" i="17" s="1"/>
  <c r="K713" i="17"/>
  <c r="L713" i="17"/>
  <c r="M713" i="17" s="1"/>
  <c r="I714" i="17"/>
  <c r="N714" i="17" s="1"/>
  <c r="J714" i="17"/>
  <c r="O714" i="17" s="1"/>
  <c r="K714" i="17"/>
  <c r="L714" i="17"/>
  <c r="M714" i="17" s="1"/>
  <c r="I715" i="17"/>
  <c r="N715" i="17" s="1"/>
  <c r="J715" i="17"/>
  <c r="K715" i="17"/>
  <c r="L715" i="17"/>
  <c r="M715" i="17" s="1"/>
  <c r="I716" i="17"/>
  <c r="N716" i="17" s="1"/>
  <c r="J716" i="17"/>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K720" i="17"/>
  <c r="L720" i="17"/>
  <c r="M720" i="17" s="1"/>
  <c r="I721" i="17"/>
  <c r="J721" i="17"/>
  <c r="K721" i="17"/>
  <c r="L721" i="17"/>
  <c r="M721" i="17" s="1"/>
  <c r="I722" i="17"/>
  <c r="J722" i="17"/>
  <c r="O722" i="17" s="1"/>
  <c r="K722" i="17"/>
  <c r="L722" i="17"/>
  <c r="M722" i="17" s="1"/>
  <c r="I723" i="17"/>
  <c r="N723" i="17" s="1"/>
  <c r="J723" i="17"/>
  <c r="O723" i="17" s="1"/>
  <c r="K723" i="17"/>
  <c r="L723" i="17"/>
  <c r="M723" i="17" s="1"/>
  <c r="I724" i="17"/>
  <c r="N724" i="17" s="1"/>
  <c r="J724" i="17"/>
  <c r="O724" i="17" s="1"/>
  <c r="K724" i="17"/>
  <c r="L724" i="17"/>
  <c r="M724" i="17" s="1"/>
  <c r="I725" i="17"/>
  <c r="J725" i="17"/>
  <c r="O725" i="17" s="1"/>
  <c r="K725" i="17"/>
  <c r="L725" i="17"/>
  <c r="M725" i="17" s="1"/>
  <c r="I726" i="17"/>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K732" i="17"/>
  <c r="L732" i="17"/>
  <c r="M732" i="17" s="1"/>
  <c r="I733" i="17"/>
  <c r="N733" i="17" s="1"/>
  <c r="J733" i="17"/>
  <c r="O733" i="17" s="1"/>
  <c r="K733" i="17"/>
  <c r="L733" i="17"/>
  <c r="M733" i="17" s="1"/>
  <c r="I734" i="17"/>
  <c r="N734" i="17" s="1"/>
  <c r="J734" i="17"/>
  <c r="O734" i="17" s="1"/>
  <c r="K734" i="17"/>
  <c r="L734" i="17"/>
  <c r="M734" i="17" s="1"/>
  <c r="I735" i="17"/>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K740" i="17"/>
  <c r="L740" i="17"/>
  <c r="I741" i="17"/>
  <c r="J741" i="17"/>
  <c r="K741" i="17"/>
  <c r="L741" i="17"/>
  <c r="M741" i="17" s="1"/>
  <c r="I742" i="17"/>
  <c r="J742" i="17"/>
  <c r="K742" i="17"/>
  <c r="L742" i="17"/>
  <c r="M742" i="17" s="1"/>
  <c r="I743" i="17"/>
  <c r="J743" i="17"/>
  <c r="O743" i="17" s="1"/>
  <c r="K743" i="17"/>
  <c r="L743" i="17"/>
  <c r="M743" i="17" s="1"/>
  <c r="I744" i="17"/>
  <c r="J744" i="17"/>
  <c r="O744" i="17" s="1"/>
  <c r="K744" i="17"/>
  <c r="L744" i="17"/>
  <c r="M744" i="17" s="1"/>
  <c r="I745" i="17"/>
  <c r="J745" i="17"/>
  <c r="K745" i="17"/>
  <c r="L745" i="17"/>
  <c r="M745" i="17" s="1"/>
  <c r="I746" i="17"/>
  <c r="J746" i="17"/>
  <c r="K746" i="17"/>
  <c r="L746" i="17"/>
  <c r="M746" i="17" s="1"/>
  <c r="I747" i="17"/>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K760" i="17"/>
  <c r="L760" i="17"/>
  <c r="M760" i="17" s="1"/>
  <c r="I761" i="17"/>
  <c r="N761" i="17" s="1"/>
  <c r="J761" i="17"/>
  <c r="O761" i="17" s="1"/>
  <c r="K761" i="17"/>
  <c r="L761" i="17"/>
  <c r="M761" i="17" s="1"/>
  <c r="I762" i="17"/>
  <c r="J762" i="17"/>
  <c r="O762" i="17" s="1"/>
  <c r="K762" i="17"/>
  <c r="L762" i="17"/>
  <c r="M762" i="17" s="1"/>
  <c r="I763" i="17"/>
  <c r="N763" i="17" s="1"/>
  <c r="J763" i="17"/>
  <c r="O763" i="17" s="1"/>
  <c r="K763" i="17"/>
  <c r="L763" i="17"/>
  <c r="M763" i="17" s="1"/>
  <c r="I764" i="17"/>
  <c r="N764" i="17" s="1"/>
  <c r="J764" i="17"/>
  <c r="O764" i="17" s="1"/>
  <c r="K764" i="17"/>
  <c r="L764" i="17"/>
  <c r="M764" i="17" s="1"/>
  <c r="I765" i="17"/>
  <c r="J765" i="17"/>
  <c r="K765" i="17"/>
  <c r="L765" i="17"/>
  <c r="M765" i="17" s="1"/>
  <c r="I766" i="17"/>
  <c r="J766" i="17"/>
  <c r="K766" i="17"/>
  <c r="L766" i="17"/>
  <c r="M766" i="17" s="1"/>
  <c r="I767" i="17"/>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K770" i="17"/>
  <c r="L770" i="17"/>
  <c r="M770" i="17" s="1"/>
  <c r="I771" i="17"/>
  <c r="N771" i="17" s="1"/>
  <c r="J771" i="17"/>
  <c r="K771" i="17"/>
  <c r="L771" i="17"/>
  <c r="M771" i="17" s="1"/>
  <c r="I772" i="17"/>
  <c r="N772" i="17" s="1"/>
  <c r="J772" i="17"/>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J785" i="17"/>
  <c r="K785" i="17"/>
  <c r="L785" i="17"/>
  <c r="M785" i="17" s="1"/>
  <c r="I786" i="17"/>
  <c r="J786" i="17"/>
  <c r="O786" i="17" s="1"/>
  <c r="K786" i="17"/>
  <c r="L786" i="17"/>
  <c r="M786" i="17" s="1"/>
  <c r="I787" i="17"/>
  <c r="J787" i="17"/>
  <c r="O787" i="17" s="1"/>
  <c r="K787" i="17"/>
  <c r="L787" i="17"/>
  <c r="M787" i="17" s="1"/>
  <c r="I788" i="17"/>
  <c r="N788" i="17" s="1"/>
  <c r="J788" i="17"/>
  <c r="O788" i="17" s="1"/>
  <c r="K788" i="17"/>
  <c r="L788" i="17"/>
  <c r="M788" i="17" s="1"/>
  <c r="I789" i="17"/>
  <c r="J789" i="17"/>
  <c r="O789" i="17" s="1"/>
  <c r="K789" i="17"/>
  <c r="L789" i="17"/>
  <c r="M789" i="17" s="1"/>
  <c r="I790" i="17"/>
  <c r="N790" i="17" s="1"/>
  <c r="J790" i="17"/>
  <c r="O790" i="17" s="1"/>
  <c r="K790" i="17"/>
  <c r="L790" i="17"/>
  <c r="M790" i="17" s="1"/>
  <c r="I791" i="17"/>
  <c r="N791" i="17" s="1"/>
  <c r="J791" i="17"/>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K795" i="17"/>
  <c r="L795" i="17"/>
  <c r="M795" i="17" s="1"/>
  <c r="I796" i="17"/>
  <c r="N796" i="17" s="1"/>
  <c r="J796" i="17"/>
  <c r="K796" i="17"/>
  <c r="L796" i="17"/>
  <c r="M796" i="17" s="1"/>
  <c r="I797" i="17"/>
  <c r="N797" i="17" s="1"/>
  <c r="J797" i="17"/>
  <c r="O797" i="17" s="1"/>
  <c r="K797" i="17"/>
  <c r="L797" i="17"/>
  <c r="M797" i="17" s="1"/>
  <c r="I798" i="17"/>
  <c r="J798" i="17"/>
  <c r="O798" i="17" s="1"/>
  <c r="K798" i="17"/>
  <c r="L798" i="17"/>
  <c r="M798" i="17" s="1"/>
  <c r="I799" i="17"/>
  <c r="N799" i="17" s="1"/>
  <c r="J799" i="17"/>
  <c r="K799" i="17"/>
  <c r="L799" i="17"/>
  <c r="M799" i="17" s="1"/>
  <c r="I800" i="17"/>
  <c r="N800" i="17" s="1"/>
  <c r="J800" i="17"/>
  <c r="K800" i="17"/>
  <c r="L800" i="17"/>
  <c r="M800" i="17" s="1"/>
  <c r="I801" i="17"/>
  <c r="N801" i="17" s="1"/>
  <c r="J801" i="17"/>
  <c r="K801" i="17"/>
  <c r="L801" i="17"/>
  <c r="M801" i="17" s="1"/>
  <c r="I802" i="17"/>
  <c r="N802" i="17" s="1"/>
  <c r="J802" i="17"/>
  <c r="O802" i="17" s="1"/>
  <c r="K802" i="17"/>
  <c r="L802" i="17"/>
  <c r="M802" i="17" s="1"/>
  <c r="I803" i="17"/>
  <c r="N803" i="17" s="1"/>
  <c r="J803" i="17"/>
  <c r="O803" i="17" s="1"/>
  <c r="K803" i="17"/>
  <c r="L803" i="17"/>
  <c r="M803" i="17" s="1"/>
  <c r="I804" i="17"/>
  <c r="J804" i="17"/>
  <c r="O804" i="17" s="1"/>
  <c r="K804" i="17"/>
  <c r="L804" i="17"/>
  <c r="M804" i="17" s="1"/>
  <c r="I805" i="17"/>
  <c r="J805" i="17"/>
  <c r="O805" i="17" s="1"/>
  <c r="K805" i="17"/>
  <c r="L805" i="17"/>
  <c r="M805" i="17" s="1"/>
  <c r="I806" i="17"/>
  <c r="J806" i="17"/>
  <c r="O806" i="17" s="1"/>
  <c r="K806" i="17"/>
  <c r="L806" i="17"/>
  <c r="M806" i="17" s="1"/>
  <c r="I807" i="17"/>
  <c r="J807" i="17"/>
  <c r="O807" i="17" s="1"/>
  <c r="K807" i="17"/>
  <c r="L807" i="17"/>
  <c r="M807" i="17" s="1"/>
  <c r="I808" i="17"/>
  <c r="N808" i="17" s="1"/>
  <c r="J808" i="17"/>
  <c r="O808" i="17" s="1"/>
  <c r="K808" i="17"/>
  <c r="L808" i="17"/>
  <c r="M808" i="17" s="1"/>
  <c r="I809" i="17"/>
  <c r="N809" i="17" s="1"/>
  <c r="J809" i="17"/>
  <c r="O809" i="17" s="1"/>
  <c r="K809" i="17"/>
  <c r="L809" i="17"/>
  <c r="M809" i="17" s="1"/>
  <c r="I810" i="17"/>
  <c r="J810" i="17"/>
  <c r="O810" i="17" s="1"/>
  <c r="K810" i="17"/>
  <c r="L810" i="17"/>
  <c r="M810" i="17" s="1"/>
  <c r="I811" i="17"/>
  <c r="N811" i="17" s="1"/>
  <c r="J811" i="17"/>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K820" i="17"/>
  <c r="L820" i="17"/>
  <c r="M820" i="17" s="1"/>
  <c r="I821" i="17"/>
  <c r="N821" i="17" s="1"/>
  <c r="J821" i="17"/>
  <c r="K821" i="17"/>
  <c r="L821" i="17"/>
  <c r="M821" i="17" s="1"/>
  <c r="I822" i="17"/>
  <c r="N822" i="17" s="1"/>
  <c r="J822" i="17"/>
  <c r="K822" i="17"/>
  <c r="L822" i="17"/>
  <c r="M822" i="17" s="1"/>
  <c r="I823" i="17"/>
  <c r="N823" i="17" s="1"/>
  <c r="J823" i="17"/>
  <c r="O823" i="17" s="1"/>
  <c r="K823" i="17"/>
  <c r="L823" i="17"/>
  <c r="M823" i="17" s="1"/>
  <c r="I824" i="17"/>
  <c r="N824" i="17" s="1"/>
  <c r="J824" i="17"/>
  <c r="O824" i="17" s="1"/>
  <c r="K824" i="17"/>
  <c r="L824" i="17"/>
  <c r="M824" i="17" s="1"/>
  <c r="I825" i="17"/>
  <c r="J825" i="17"/>
  <c r="K825" i="17"/>
  <c r="L825" i="17"/>
  <c r="M825" i="17" s="1"/>
  <c r="I826" i="17"/>
  <c r="J826" i="17"/>
  <c r="K826" i="17"/>
  <c r="L826" i="17"/>
  <c r="M826" i="17" s="1"/>
  <c r="I827" i="17"/>
  <c r="J827" i="17"/>
  <c r="O827" i="17" s="1"/>
  <c r="K827" i="17"/>
  <c r="L827" i="17"/>
  <c r="M827" i="17" s="1"/>
  <c r="I828" i="17"/>
  <c r="N828" i="17" s="1"/>
  <c r="J828" i="17"/>
  <c r="O828" i="17" s="1"/>
  <c r="K828" i="17"/>
  <c r="L828" i="17"/>
  <c r="M828" i="17" s="1"/>
  <c r="I829" i="17"/>
  <c r="N829" i="17" s="1"/>
  <c r="J829" i="17"/>
  <c r="O829" i="17" s="1"/>
  <c r="K829" i="17"/>
  <c r="L829" i="17"/>
  <c r="M829" i="17" s="1"/>
  <c r="I830" i="17"/>
  <c r="J830" i="17"/>
  <c r="O830" i="17" s="1"/>
  <c r="K830" i="17"/>
  <c r="L830" i="17"/>
  <c r="M830" i="17" s="1"/>
  <c r="I831" i="17"/>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K845" i="17"/>
  <c r="L845" i="17"/>
  <c r="M845" i="17" s="1"/>
  <c r="I846" i="17"/>
  <c r="J846" i="17"/>
  <c r="K846" i="17"/>
  <c r="L846" i="17"/>
  <c r="M846" i="17" s="1"/>
  <c r="I847" i="17"/>
  <c r="J847" i="17"/>
  <c r="O847" i="17" s="1"/>
  <c r="K847" i="17"/>
  <c r="L847" i="17"/>
  <c r="M847" i="17" s="1"/>
  <c r="I848" i="17"/>
  <c r="J848" i="17"/>
  <c r="O848" i="17" s="1"/>
  <c r="K848" i="17"/>
  <c r="L848" i="17"/>
  <c r="M848" i="17" s="1"/>
  <c r="I849" i="17"/>
  <c r="J849" i="17"/>
  <c r="O849" i="17" s="1"/>
  <c r="K849" i="17"/>
  <c r="L849" i="17"/>
  <c r="M849" i="17" s="1"/>
  <c r="I850" i="17"/>
  <c r="J850" i="17"/>
  <c r="K850" i="17"/>
  <c r="L850" i="17"/>
  <c r="M850" i="17" s="1"/>
  <c r="I851" i="17"/>
  <c r="J851" i="17"/>
  <c r="K851" i="17"/>
  <c r="L851" i="17"/>
  <c r="M851" i="17" s="1"/>
  <c r="I852" i="17"/>
  <c r="J852" i="17"/>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J862" i="17"/>
  <c r="O862" i="17" s="1"/>
  <c r="K862" i="17"/>
  <c r="L862" i="17"/>
  <c r="M862" i="17" s="1"/>
  <c r="I863" i="17"/>
  <c r="N863" i="17" s="1"/>
  <c r="J863" i="17"/>
  <c r="O863" i="17" s="1"/>
  <c r="K863" i="17"/>
  <c r="L863" i="17"/>
  <c r="M863" i="17" s="1"/>
  <c r="I864" i="17"/>
  <c r="N864" i="17" s="1"/>
  <c r="J864" i="17"/>
  <c r="K864" i="17"/>
  <c r="L864" i="17"/>
  <c r="M864" i="17" s="1"/>
  <c r="I865" i="17"/>
  <c r="N865" i="17" s="1"/>
  <c r="J865" i="17"/>
  <c r="O865" i="17" s="1"/>
  <c r="K865" i="17"/>
  <c r="L865" i="17"/>
  <c r="M865" i="17" s="1"/>
  <c r="I866" i="17"/>
  <c r="N866" i="17" s="1"/>
  <c r="J866" i="17"/>
  <c r="O866" i="17" s="1"/>
  <c r="K866" i="17"/>
  <c r="L866" i="17"/>
  <c r="M866" i="17" s="1"/>
  <c r="I867" i="17"/>
  <c r="J867" i="17"/>
  <c r="O867" i="17" s="1"/>
  <c r="K867" i="17"/>
  <c r="L867" i="17"/>
  <c r="M867" i="17" s="1"/>
  <c r="I868" i="17"/>
  <c r="N868" i="17" s="1"/>
  <c r="J868" i="17"/>
  <c r="O868" i="17" s="1"/>
  <c r="K868" i="17"/>
  <c r="L868" i="17"/>
  <c r="M868" i="17" s="1"/>
  <c r="I869" i="17"/>
  <c r="N869" i="17" s="1"/>
  <c r="J869" i="17"/>
  <c r="O869" i="17" s="1"/>
  <c r="K869" i="17"/>
  <c r="L869" i="17"/>
  <c r="M869" i="17" s="1"/>
  <c r="I870" i="17"/>
  <c r="J870" i="17"/>
  <c r="O870" i="17" s="1"/>
  <c r="K870" i="17"/>
  <c r="L870" i="17"/>
  <c r="M870" i="17" s="1"/>
  <c r="I871" i="17"/>
  <c r="J871" i="17"/>
  <c r="K871" i="17"/>
  <c r="L871" i="17"/>
  <c r="M871" i="17" s="1"/>
  <c r="I872" i="17"/>
  <c r="J872" i="17"/>
  <c r="K872" i="17"/>
  <c r="L872" i="17"/>
  <c r="M872" i="17" s="1"/>
  <c r="I873" i="17"/>
  <c r="N873" i="17" s="1"/>
  <c r="J873" i="17"/>
  <c r="O873" i="17" s="1"/>
  <c r="K873" i="17"/>
  <c r="L873" i="17"/>
  <c r="M873" i="17" s="1"/>
  <c r="I874" i="17"/>
  <c r="N874" i="17" s="1"/>
  <c r="J874" i="17"/>
  <c r="K874" i="17"/>
  <c r="L874" i="17"/>
  <c r="M874" i="17" s="1"/>
  <c r="I875" i="17"/>
  <c r="N875" i="17" s="1"/>
  <c r="J875" i="17"/>
  <c r="K875" i="17"/>
  <c r="L875" i="17"/>
  <c r="M875" i="17" s="1"/>
  <c r="I876" i="17"/>
  <c r="N876" i="17" s="1"/>
  <c r="J876" i="17"/>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J890" i="17"/>
  <c r="K890" i="17"/>
  <c r="L890" i="17"/>
  <c r="M890" i="17" s="1"/>
  <c r="I891" i="17"/>
  <c r="J891" i="17"/>
  <c r="O891" i="17" s="1"/>
  <c r="K891" i="17"/>
  <c r="L891" i="17"/>
  <c r="M891" i="17" s="1"/>
  <c r="I892" i="17"/>
  <c r="J892" i="17"/>
  <c r="O892" i="17" s="1"/>
  <c r="K892" i="17"/>
  <c r="L892" i="17"/>
  <c r="M892" i="17" s="1"/>
  <c r="I893" i="17"/>
  <c r="N893" i="17" s="1"/>
  <c r="J893" i="17"/>
  <c r="O893" i="17" s="1"/>
  <c r="K893" i="17"/>
  <c r="L893" i="17"/>
  <c r="M893" i="17" s="1"/>
  <c r="I894" i="17"/>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K900" i="17"/>
  <c r="L900" i="17"/>
  <c r="M900" i="17" s="1"/>
  <c r="I901" i="17"/>
  <c r="N901" i="17" s="1"/>
  <c r="J901" i="17"/>
  <c r="K901" i="17"/>
  <c r="L901" i="17"/>
  <c r="M901" i="17" s="1"/>
  <c r="I902" i="17"/>
  <c r="N902" i="17" s="1"/>
  <c r="J902" i="17"/>
  <c r="K902" i="17"/>
  <c r="L902" i="17"/>
  <c r="M902" i="17" s="1"/>
  <c r="I903" i="17"/>
  <c r="N903" i="17" s="1"/>
  <c r="J903" i="17"/>
  <c r="O903" i="17" s="1"/>
  <c r="K903" i="17"/>
  <c r="L903" i="17"/>
  <c r="M903" i="17" s="1"/>
  <c r="I904" i="17"/>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J909" i="17"/>
  <c r="O909" i="17" s="1"/>
  <c r="K909" i="17"/>
  <c r="L909" i="17"/>
  <c r="M909" i="17" s="1"/>
  <c r="I910" i="17"/>
  <c r="J910" i="17"/>
  <c r="O910" i="17" s="1"/>
  <c r="K910" i="17"/>
  <c r="L910" i="17"/>
  <c r="M910" i="17" s="1"/>
  <c r="I911" i="17"/>
  <c r="J911" i="17"/>
  <c r="O911" i="17" s="1"/>
  <c r="K911" i="17"/>
  <c r="L911" i="17"/>
  <c r="M911" i="17" s="1"/>
  <c r="I912" i="17"/>
  <c r="J912" i="17"/>
  <c r="O912" i="17" s="1"/>
  <c r="K912" i="17"/>
  <c r="L912" i="17"/>
  <c r="M912" i="17" s="1"/>
  <c r="I913" i="17"/>
  <c r="N913" i="17" s="1"/>
  <c r="J913" i="17"/>
  <c r="O913" i="17" s="1"/>
  <c r="K913" i="17"/>
  <c r="L913" i="17"/>
  <c r="M913" i="17" s="1"/>
  <c r="I914" i="17"/>
  <c r="N914" i="17" s="1"/>
  <c r="J914" i="17"/>
  <c r="O914" i="17" s="1"/>
  <c r="K914" i="17"/>
  <c r="L914" i="17"/>
  <c r="M914" i="17" s="1"/>
  <c r="I915" i="17"/>
  <c r="J915" i="17"/>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K922" i="17"/>
  <c r="L922" i="17"/>
  <c r="M922" i="17" s="1"/>
  <c r="I923" i="17"/>
  <c r="N923" i="17" s="1"/>
  <c r="J923" i="17"/>
  <c r="O923" i="17" s="1"/>
  <c r="K923" i="17"/>
  <c r="L923" i="17"/>
  <c r="M923" i="17" s="1"/>
  <c r="I924" i="17"/>
  <c r="N924" i="17" s="1"/>
  <c r="J924" i="17"/>
  <c r="K924" i="17"/>
  <c r="L924" i="17"/>
  <c r="M924" i="17" s="1"/>
  <c r="I925" i="17"/>
  <c r="J925" i="17"/>
  <c r="K925" i="17"/>
  <c r="L925" i="17"/>
  <c r="M925" i="17" s="1"/>
  <c r="I926" i="17"/>
  <c r="N926" i="17" s="1"/>
  <c r="J926" i="17"/>
  <c r="K926" i="17"/>
  <c r="L926" i="17"/>
  <c r="M926" i="17" s="1"/>
  <c r="I927" i="17"/>
  <c r="N927" i="17" s="1"/>
  <c r="J927" i="17"/>
  <c r="O927" i="17" s="1"/>
  <c r="K927" i="17"/>
  <c r="L927" i="17"/>
  <c r="M927" i="17" s="1"/>
  <c r="I928" i="17"/>
  <c r="N928" i="17" s="1"/>
  <c r="J928" i="17"/>
  <c r="K928" i="17"/>
  <c r="L928" i="17"/>
  <c r="M928" i="17" s="1"/>
  <c r="I929" i="17"/>
  <c r="N929" i="17" s="1"/>
  <c r="J929" i="17"/>
  <c r="K929" i="17"/>
  <c r="L929" i="17"/>
  <c r="M929" i="17" s="1"/>
  <c r="I930" i="17"/>
  <c r="J930" i="17"/>
  <c r="O930" i="17" s="1"/>
  <c r="K930" i="17"/>
  <c r="L930" i="17"/>
  <c r="M930" i="17" s="1"/>
  <c r="I931" i="17"/>
  <c r="J931" i="17"/>
  <c r="O931" i="17" s="1"/>
  <c r="K931" i="17"/>
  <c r="L931" i="17"/>
  <c r="M931" i="17" s="1"/>
  <c r="I932" i="17"/>
  <c r="J932" i="17"/>
  <c r="O932" i="17" s="1"/>
  <c r="K932" i="17"/>
  <c r="L932" i="17"/>
  <c r="M932" i="17" s="1"/>
  <c r="I933" i="17"/>
  <c r="N933" i="17" s="1"/>
  <c r="J933" i="17"/>
  <c r="O933" i="17" s="1"/>
  <c r="K933" i="17"/>
  <c r="L933" i="17"/>
  <c r="M933" i="17" s="1"/>
  <c r="I934" i="17"/>
  <c r="N934" i="17" s="1"/>
  <c r="J934" i="17"/>
  <c r="O934" i="17" s="1"/>
  <c r="K934" i="17"/>
  <c r="L934" i="17"/>
  <c r="M934" i="17" s="1"/>
  <c r="I935" i="17"/>
  <c r="J935" i="17"/>
  <c r="O935" i="17" s="1"/>
  <c r="K935" i="17"/>
  <c r="L935" i="17"/>
  <c r="M935" i="17" s="1"/>
  <c r="I936" i="17"/>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J946" i="17"/>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K950" i="17"/>
  <c r="L950" i="17"/>
  <c r="M950" i="17" s="1"/>
  <c r="I951" i="17"/>
  <c r="J951" i="17"/>
  <c r="K951" i="17"/>
  <c r="L951" i="17"/>
  <c r="M951" i="17" s="1"/>
  <c r="I952" i="17"/>
  <c r="J952" i="17"/>
  <c r="K952" i="17"/>
  <c r="L952" i="17"/>
  <c r="M952" i="17" s="1"/>
  <c r="I953" i="17"/>
  <c r="J953" i="17"/>
  <c r="O953" i="17" s="1"/>
  <c r="K953" i="17"/>
  <c r="L953" i="17"/>
  <c r="M953" i="17" s="1"/>
  <c r="I954" i="17"/>
  <c r="J954" i="17"/>
  <c r="O954" i="17" s="1"/>
  <c r="K954" i="17"/>
  <c r="L954" i="17"/>
  <c r="M954" i="17" s="1"/>
  <c r="I955" i="17"/>
  <c r="J955" i="17"/>
  <c r="O955" i="17" s="1"/>
  <c r="K955" i="17"/>
  <c r="L955" i="17"/>
  <c r="M955" i="17" s="1"/>
  <c r="I956" i="17"/>
  <c r="J956" i="17"/>
  <c r="O956" i="17" s="1"/>
  <c r="K956" i="17"/>
  <c r="L956" i="17"/>
  <c r="M956" i="17" s="1"/>
  <c r="I957" i="17"/>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K965" i="17"/>
  <c r="L965" i="17"/>
  <c r="M965" i="17" s="1"/>
  <c r="I966" i="17"/>
  <c r="N966" i="17" s="1"/>
  <c r="J966" i="17"/>
  <c r="O966" i="17" s="1"/>
  <c r="K966" i="17"/>
  <c r="L966" i="17"/>
  <c r="M966" i="17" s="1"/>
  <c r="I967" i="17"/>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K971" i="17"/>
  <c r="L971" i="17"/>
  <c r="M971" i="17" s="1"/>
  <c r="I972" i="17"/>
  <c r="J972" i="17"/>
  <c r="K972" i="17"/>
  <c r="L972" i="17"/>
  <c r="M972" i="17" s="1"/>
  <c r="I973" i="17"/>
  <c r="N973" i="17" s="1"/>
  <c r="J973" i="17"/>
  <c r="O973" i="17" s="1"/>
  <c r="K973" i="17"/>
  <c r="L973" i="17"/>
  <c r="M973" i="17" s="1"/>
  <c r="I974" i="17"/>
  <c r="N974" i="17" s="1"/>
  <c r="J974" i="17"/>
  <c r="O974" i="17" s="1"/>
  <c r="K974" i="17"/>
  <c r="L974" i="17"/>
  <c r="M974" i="17" s="1"/>
  <c r="I975" i="17"/>
  <c r="J975" i="17"/>
  <c r="K975" i="17"/>
  <c r="L975" i="17"/>
  <c r="M975" i="17" s="1"/>
  <c r="I976" i="17"/>
  <c r="J976" i="17"/>
  <c r="K976" i="17"/>
  <c r="L976" i="17"/>
  <c r="M976" i="17" s="1"/>
  <c r="I977" i="17"/>
  <c r="J977" i="17"/>
  <c r="O977" i="17" s="1"/>
  <c r="K977" i="17"/>
  <c r="L977" i="17"/>
  <c r="M977" i="17" s="1"/>
  <c r="I978" i="17"/>
  <c r="N978" i="17" s="1"/>
  <c r="J978" i="17"/>
  <c r="O978" i="17" s="1"/>
  <c r="K978" i="17"/>
  <c r="L978" i="17"/>
  <c r="M978" i="17" s="1"/>
  <c r="I979" i="17"/>
  <c r="N979" i="17" s="1"/>
  <c r="J979" i="17"/>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J995" i="17"/>
  <c r="O995" i="17" s="1"/>
  <c r="K995" i="17"/>
  <c r="L995" i="17"/>
  <c r="M995" i="17" s="1"/>
  <c r="I996" i="17"/>
  <c r="J996" i="17"/>
  <c r="K996" i="17"/>
  <c r="L996" i="17"/>
  <c r="M996" i="17" s="1"/>
  <c r="I997" i="17"/>
  <c r="J997" i="17"/>
  <c r="O997" i="17" s="1"/>
  <c r="K997" i="17"/>
  <c r="L997" i="17"/>
  <c r="M997" i="17" s="1"/>
  <c r="I998" i="17"/>
  <c r="N998" i="17" s="1"/>
  <c r="J998" i="17"/>
  <c r="K998" i="17"/>
  <c r="L998" i="17"/>
  <c r="M998" i="17" s="1"/>
  <c r="I999" i="17"/>
  <c r="J999" i="17"/>
  <c r="K999" i="17"/>
  <c r="L999" i="17"/>
  <c r="M999" i="17" s="1"/>
  <c r="I1000" i="17"/>
  <c r="N1000" i="17" s="1"/>
  <c r="J1000" i="17"/>
  <c r="K1000" i="17"/>
  <c r="L1000" i="17"/>
  <c r="M1000" i="17" s="1"/>
  <c r="I1001" i="17"/>
  <c r="N1001" i="17" s="1"/>
  <c r="J1001" i="17"/>
  <c r="K1001" i="17"/>
  <c r="L1001" i="17"/>
  <c r="M1001" i="17" s="1"/>
  <c r="J2" i="17"/>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<sst xmlns="http://schemas.openxmlformats.org/spreadsheetml/2006/main" count="11129" uniqueCount="6222">
  <si>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</si>
  <si>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</si>
  <si>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</si>
  <si>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</si>
  <si>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</si>
  <si>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</si>
  <si>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</si>
  <si>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</si>
  <si>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</si>
  <si>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</si>
  <si>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</si>
  <si>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</si>
  <si>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</si>
  <si>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</si>
  <si>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</si>
  <si>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</si>
  <si>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</si>
  <si>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</si>
  <si>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</si>
  <si>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</si>
  <si>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</si>
  <si>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</si>
  <si>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</si>
  <si>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</si>
  <si>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</si>
  <si>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</si>
  <si>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</si>
  <si>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</si>
  <si>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</si>
  <si>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</si>
  <si>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</si>
  <si>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</si>
  <si>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</si>
  <si>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</si>
  <si>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</si>
  <si>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</si>
  <si>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</si>
  <si>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</si>
  <si>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</si>
  <si>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</si>
  <si>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</si>
  <si>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</si>
  <si>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</si>
  <si>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</si>
  <si>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</si>
  <si>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</si>
  <si>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</si>
  <si>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</si>
  <si>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</si>
  <si>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</si>
  <si>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</si>
  <si>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</si>
  <si>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</si>
  <si>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</si>
  <si>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</si>
  <si>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</si>
  <si>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</si>
  <si>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</si>
  <si>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</si>
  <si>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</si>
  <si>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</si>
  <si>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</si>
  <si>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</si>
  <si>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</si>
  <si>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</si>
  <si>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</si>
  <si>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</si>
  <si>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</si>
  <si>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</si>
  <si>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</si>
  <si>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</si>
  <si>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</si>
  <si>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</si>
  <si>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</si>
  <si>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</si>
  <si>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</si>
  <si>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</si>
  <si>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</si>
  <si>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</si>
  <si>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</si>
  <si>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</si>
  <si>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</si>
  <si>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</si>
  <si>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</si>
  <si>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</si>
  <si>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</si>
  <si>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</si>
  <si>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</si>
  <si>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</si>
  <si>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</si>
  <si>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</si>
  <si>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</si>
  <si>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</si>
  <si>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</si>
  <si>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</si>
  <si>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</si>
  <si>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</si>
  <si>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</si>
  <si>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</si>
  <si>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</si>
  <si>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</si>
  <si>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</si>
  <si>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</si>
  <si>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</si>
  <si>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</si>
  <si>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</si>
  <si>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</si>
  <si>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</si>
  <si>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</si>
  <si>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</si>
  <si>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</si>
  <si>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</si>
  <si>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</si>
  <si>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</si>
  <si>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</si>
  <si>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</si>
  <si>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</si>
  <si>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</si>
  <si>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</si>
  <si>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</si>
  <si>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</si>
  <si>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</si>
  <si>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</si>
  <si>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</si>
  <si>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</si>
  <si>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</si>
  <si>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</si>
  <si>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</si>
  <si>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</si>
  <si>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</si>
  <si>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</si>
  <si>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</si>
  <si>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</si>
  <si>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</si>
  <si>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</si>
  <si>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</si>
  <si>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</si>
  <si>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</si>
  <si>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</si>
  <si>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</si>
  <si>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</si>
  <si>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</si>
  <si>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</si>
  <si>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</si>
  <si>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</si>
  <si>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</si>
  <si>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</si>
  <si>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</si>
  <si>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</si>
  <si>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</si>
  <si>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</si>
  <si>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</si>
  <si>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</si>
  <si>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</si>
  <si>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</si>
  <si>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</si>
  <si>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</si>
  <si>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</si>
  <si>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</si>
  <si>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</si>
  <si>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</si>
  <si>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</si>
  <si>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</si>
  <si>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</si>
  <si>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</si>
  <si>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</si>
  <si>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</si>
  <si>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</si>
  <si>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</si>
  <si>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</si>
  <si>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</si>
  <si>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</si>
  <si>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</si>
  <si>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</si>
  <si>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</si>
  <si>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</si>
  <si>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</si>
  <si>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</si>
  <si>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</si>
  <si>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</si>
  <si>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</si>
  <si>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</si>
  <si>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</si>
  <si>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</si>
  <si>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</si>
  <si>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</si>
  <si>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</si>
  <si>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</si>
  <si>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</si>
  <si>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</si>
  <si>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</si>
  <si>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</si>
  <si>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</si>
  <si>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</si>
  <si>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</si>
  <si>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</si>
  <si>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</si>
  <si>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</si>
  <si>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</si>
  <si>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</si>
  <si>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</si>
  <si>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</si>
  <si>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</si>
  <si>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</si>
  <si>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</si>
  <si>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</si>
  <si>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</si>
  <si>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</si>
  <si>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</si>
  <si>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</si>
  <si>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</si>
  <si>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</si>
  <si>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</si>
  <si>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</si>
  <si>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</si>
  <si>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</si>
  <si>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</si>
  <si>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</si>
  <si>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</si>
  <si>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</si>
  <si>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</si>
  <si>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</si>
  <si>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</si>
  <si>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</si>
  <si>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</si>
  <si>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</si>
  <si>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</si>
  <si>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</si>
  <si>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</si>
  <si>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</si>
  <si>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</si>
  <si>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</si>
  <si>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</si>
  <si>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</si>
  <si>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</si>
  <si>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</si>
  <si>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</si>
  <si>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</si>
  <si>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</si>
  <si>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</si>
  <si>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</si>
  <si>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</si>
  <si>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</si>
  <si>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</si>
  <si>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</si>
  <si>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</si>
  <si>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</si>
  <si>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</si>
  <si>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</si>
  <si>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</si>
  <si>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</si>
  <si>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</si>
  <si>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</si>
  <si>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</si>
  <si>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</si>
  <si>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</si>
  <si>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</si>
  <si>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</si>
  <si>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</si>
  <si>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</si>
  <si>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</si>
  <si>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</si>
  <si>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</si>
  <si>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</si>
  <si>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</si>
  <si>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</si>
  <si>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</si>
  <si>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</si>
  <si>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</si>
  <si>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</si>
  <si>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</si>
  <si>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</si>
  <si>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</si>
  <si>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</si>
  <si>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</si>
  <si>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</si>
  <si>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</si>
  <si>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</si>
  <si>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</si>
  <si>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</si>
  <si>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</si>
  <si>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</si>
  <si>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</si>
  <si>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</si>
  <si>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</si>
  <si>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</si>
  <si>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</si>
  <si>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</si>
  <si>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</si>
  <si>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</si>
  <si>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</si>
  <si>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</si>
  <si>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</si>
  <si>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</si>
  <si>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</si>
  <si>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</si>
  <si>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</si>
  <si>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</si>
  <si>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</si>
  <si>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</si>
  <si>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</si>
  <si>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</si>
  <si>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</si>
  <si>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</si>
  <si>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</si>
  <si>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</si>
  <si>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</si>
  <si>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</si>
  <si>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</si>
  <si>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</si>
  <si>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</si>
  <si>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</si>
  <si>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</si>
  <si>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</si>
  <si>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</si>
  <si>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</si>
  <si>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</si>
  <si>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</si>
  <si>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</si>
  <si>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</si>
  <si>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</si>
  <si>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</si>
  <si>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</si>
  <si>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</si>
  <si>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</si>
  <si>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</si>
  <si>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</si>
  <si>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</si>
  <si>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</si>
  <si>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</si>
  <si>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</si>
  <si>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</si>
  <si>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</si>
  <si>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</si>
  <si>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</si>
  <si>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</si>
  <si>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</si>
  <si>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</si>
  <si>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</si>
  <si>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</si>
  <si>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</si>
  <si>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</si>
  <si>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</si>
  <si>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</si>
  <si>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</si>
  <si>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</si>
  <si>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</si>
  <si>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</si>
  <si>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</si>
  <si>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</si>
  <si>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</si>
  <si>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</si>
  <si>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</si>
  <si>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</si>
  <si>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</si>
  <si>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</si>
  <si>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</si>
  <si>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</si>
  <si>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</si>
  <si>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</si>
  <si>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</si>
  <si>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</si>
  <si>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</si>
  <si>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</si>
  <si>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</si>
  <si>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</si>
  <si>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</si>
  <si>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</si>
  <si>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</si>
  <si>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</si>
  <si>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</si>
  <si>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</si>
  <si>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</si>
  <si>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</si>
  <si>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</si>
  <si>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</si>
  <si>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</si>
  <si>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</si>
  <si>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</si>
  <si>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</si>
  <si>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</si>
  <si>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</si>
  <si>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</si>
  <si>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</si>
  <si>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</si>
  <si>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</si>
  <si>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</si>
  <si>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</si>
  <si>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</si>
  <si>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</si>
  <si>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</si>
  <si>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</si>
  <si>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</si>
  <si>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</si>
  <si>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</si>
  <si>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</si>
  <si>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</si>
  <si>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</si>
  <si>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</si>
  <si>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</si>
  <si>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</si>
  <si>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</si>
  <si>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</si>
  <si>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</si>
  <si>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</si>
  <si>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</si>
  <si>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</si>
  <si>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</si>
  <si>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</si>
  <si>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</si>
  <si>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</si>
  <si>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</si>
  <si>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</si>
  <si>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</si>
  <si>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</si>
  <si>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</si>
  <si>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</si>
  <si>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</si>
  <si>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</si>
  <si>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</si>
  <si>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</si>
  <si>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</si>
  <si>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</si>
  <si>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</si>
  <si>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</si>
  <si>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</si>
  <si>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</si>
  <si>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</si>
  <si>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</si>
  <si>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</si>
  <si>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</si>
  <si>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</si>
  <si>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</si>
  <si>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</si>
  <si>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</si>
  <si>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</si>
  <si>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</si>
  <si>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</si>
  <si>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</si>
  <si>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</si>
  <si>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</si>
  <si>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</si>
  <si>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</si>
  <si>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</si>
  <si>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</si>
  <si>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</si>
  <si>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</si>
  <si>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</si>
  <si>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</si>
  <si>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</si>
  <si>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</si>
  <si>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</si>
  <si>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</si>
  <si>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</si>
  <si>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</si>
  <si>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</si>
  <si>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</si>
  <si>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</si>
  <si>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</si>
  <si>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</si>
  <si>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</si>
  <si>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</si>
  <si>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</si>
  <si>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</si>
  <si>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</si>
  <si>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</si>
  <si>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</si>
  <si>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</si>
  <si>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</si>
  <si>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</si>
  <si>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</si>
  <si>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</si>
  <si>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</si>
  <si>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</si>
  <si>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</si>
  <si>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</si>
  <si>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</si>
  <si>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</si>
  <si>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</si>
  <si>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</si>
  <si>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</si>
  <si>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</si>
  <si>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</si>
  <si>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</si>
  <si>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</si>
  <si>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</si>
  <si>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</si>
  <si>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</si>
  <si>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</si>
  <si>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</si>
  <si>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</si>
  <si>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</si>
  <si>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</si>
  <si>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</si>
  <si>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</si>
  <si>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</si>
  <si>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</si>
  <si>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</si>
  <si>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</si>
  <si>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</si>
  <si>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</si>
  <si>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</si>
  <si>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</si>
  <si>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</si>
  <si>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</si>
  <si>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</si>
  <si>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</si>
  <si>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</si>
  <si>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</si>
  <si>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</si>
  <si>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</si>
  <si>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</si>
  <si>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</si>
  <si>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</si>
  <si>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</si>
  <si>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</si>
  <si>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</si>
  <si>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</si>
  <si>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</si>
  <si>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</si>
  <si>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</si>
  <si>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</si>
  <si>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</si>
  <si>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</si>
  <si>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</si>
  <si>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</si>
  <si>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</si>
  <si>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</si>
  <si>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</si>
  <si>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</si>
  <si>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</si>
  <si>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</si>
  <si>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</si>
  <si>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</si>
  <si>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</si>
  <si>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</si>
  <si>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</si>
  <si>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</si>
  <si>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</si>
  <si>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</si>
  <si>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</si>
  <si>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</si>
  <si>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</si>
  <si>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</si>
  <si>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</si>
  <si>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</si>
  <si>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</si>
  <si>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</si>
  <si>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</si>
  <si>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</si>
  <si>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</si>
  <si>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</si>
  <si>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</si>
  <si>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</si>
  <si>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</si>
  <si>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</si>
  <si>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</si>
  <si>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</si>
  <si>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</si>
  <si>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</si>
  <si>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</si>
  <si>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</si>
  <si>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</si>
  <si>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</si>
  <si>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</si>
  <si>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</si>
  <si>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</si>
  <si>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</si>
  <si>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</si>
  <si>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</si>
  <si>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</si>
  <si>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</si>
  <si>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</si>
  <si>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</si>
  <si>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</si>
  <si>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</si>
  <si>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</si>
  <si>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</si>
  <si>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</si>
  <si>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</si>
  <si>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</si>
  <si>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</si>
  <si>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</si>
  <si>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</si>
  <si>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</si>
  <si>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</si>
  <si>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</si>
  <si>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</si>
  <si>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</si>
  <si>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</si>
  <si>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</si>
  <si>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</si>
  <si>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</si>
  <si>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</si>
  <si>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</si>
  <si>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</si>
  <si>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</si>
  <si>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</si>
  <si>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</si>
  <si>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</si>
  <si>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</si>
  <si>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</si>
  <si>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</si>
  <si>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</si>
  <si>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</si>
  <si>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</si>
  <si>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</si>
  <si>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</si>
  <si>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</si>
  <si>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</si>
  <si>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</si>
  <si>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</si>
  <si>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</si>
  <si>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</si>
  <si>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</si>
  <si>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</si>
  <si>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</si>
  <si>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</si>
  <si>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</si>
  <si>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</si>
  <si>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</si>
  <si>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</si>
  <si>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</si>
  <si>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</si>
  <si>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</si>
  <si>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</si>
  <si>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</si>
  <si>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</si>
  <si>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</si>
  <si>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</si>
  <si>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</si>
  <si>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</si>
  <si>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</si>
  <si>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</si>
  <si>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</si>
  <si>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</si>
  <si>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</si>
  <si>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</si>
  <si>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</si>
  <si>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</si>
  <si>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</si>
  <si>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</si>
  <si>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</si>
  <si>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</si>
  <si>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</si>
  <si>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</si>
  <si>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</si>
  <si>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</si>
  <si>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</si>
  <si>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</si>
  <si>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</si>
  <si>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</si>
  <si>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</si>
  <si>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</si>
  <si>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</si>
  <si>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</si>
  <si>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</si>
  <si>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</si>
  <si>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</si>
  <si>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</si>
  <si>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</si>
  <si>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</si>
  <si>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</si>
  <si>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</si>
  <si>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</si>
  <si>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</si>
  <si>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</si>
  <si>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</si>
  <si>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</si>
  <si>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</si>
  <si>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</si>
  <si>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</si>
  <si>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</si>
  <si>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</si>
  <si>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</si>
  <si>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</si>
  <si>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</si>
  <si>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</si>
  <si>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</si>
  <si>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</si>
  <si>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</si>
  <si>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</si>
  <si>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</si>
  <si>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</si>
  <si>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</si>
  <si>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</si>
  <si>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</si>
  <si>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</si>
  <si>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</si>
  <si>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</si>
  <si>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</si>
  <si>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</si>
  <si>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</si>
  <si>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</si>
  <si>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</si>
  <si>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</si>
  <si>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</si>
  <si>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</si>
  <si>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</si>
  <si>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</si>
  <si>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</si>
  <si>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</si>
  <si>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</si>
  <si>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</si>
  <si>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</si>
  <si>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</si>
  <si>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</si>
  <si>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</si>
  <si>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</si>
  <si>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</si>
  <si>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</si>
  <si>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</si>
  <si>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</si>
  <si>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</si>
  <si>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</si>
  <si>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</si>
  <si>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</si>
  <si>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</si>
  <si>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</si>
  <si>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</si>
  <si>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</si>
  <si>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</si>
  <si>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</si>
  <si>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</si>
  <si>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</si>
  <si>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</si>
  <si>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</si>
  <si>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</si>
  <si>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</si>
  <si>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</si>
  <si>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</si>
  <si>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</si>
  <si>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</si>
  <si>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</si>
  <si>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</si>
  <si>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</si>
  <si>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</si>
  <si>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</si>
  <si>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</si>
  <si>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</si>
  <si>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</si>
  <si>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</si>
  <si>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</si>
  <si>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</si>
  <si>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</si>
  <si>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</si>
  <si>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</si>
  <si>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</si>
  <si>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</si>
  <si>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</si>
  <si>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</si>
  <si>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</si>
  <si>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</si>
  <si>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</si>
  <si>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</si>
  <si>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</si>
  <si>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</si>
  <si>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</si>
  <si>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</si>
  <si>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</si>
  <si>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</si>
  <si>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</si>
  <si>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</si>
  <si>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</si>
  <si>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</si>
  <si>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</si>
  <si>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</si>
  <si>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</si>
  <si>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</si>
  <si>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</si>
  <si>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</si>
  <si>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</si>
  <si>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</si>
  <si>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</si>
  <si>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</si>
  <si>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</si>
  <si>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</si>
  <si>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</si>
  <si>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</si>
  <si>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</si>
  <si>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</si>
  <si>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</si>
  <si>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</si>
  <si>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</si>
  <si>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</si>
  <si>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</si>
  <si>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</si>
  <si>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</si>
  <si>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</si>
  <si>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</si>
  <si>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</si>
  <si>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</si>
  <si>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</si>
  <si>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</si>
  <si>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</si>
  <si>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</si>
  <si>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</si>
  <si>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</si>
  <si>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</si>
  <si>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</si>
  <si>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</si>
  <si>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</si>
  <si>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</si>
  <si>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</si>
  <si>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</si>
  <si>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</si>
  <si>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</si>
  <si>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</si>
  <si>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</si>
  <si>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</si>
  <si>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</si>
  <si>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</si>
  <si>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</si>
  <si>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</si>
  <si>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</si>
  <si>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</si>
  <si>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</si>
  <si>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</si>
  <si>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</si>
  <si>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</si>
  <si>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</si>
  <si>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</si>
  <si>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</si>
  <si>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</si>
  <si>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</si>
  <si>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</si>
  <si>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</si>
  <si>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</si>
  <si>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</si>
  <si>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</si>
  <si>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</si>
  <si>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</si>
  <si>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</si>
  <si>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</si>
  <si>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</si>
  <si>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</si>
  <si>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</si>
  <si>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</si>
  <si>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</si>
  <si>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</si>
  <si>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</si>
  <si>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</si>
  <si>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</si>
  <si>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</si>
  <si>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</si>
  <si>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</si>
  <si>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</si>
  <si>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</si>
  <si>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</si>
  <si>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</si>
  <si>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</si>
  <si>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</si>
  <si>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</si>
  <si>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</si>
  <si>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</si>
  <si>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</si>
  <si>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</si>
  <si>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</si>
  <si>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</si>
  <si>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</si>
  <si>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</si>
  <si>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</si>
  <si>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</si>
  <si>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</si>
  <si>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</si>
  <si>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</si>
  <si>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</si>
  <si>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</si>
  <si>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</si>
  <si>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</si>
  <si>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</si>
  <si>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</si>
  <si>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</si>
  <si>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</si>
  <si>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</si>
  <si>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</si>
  <si>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</si>
  <si>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</si>
  <si>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</si>
  <si>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</si>
  <si>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</si>
  <si>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</si>
  <si>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</si>
  <si>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</si>
  <si>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</si>
  <si>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</si>
  <si>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</si>
  <si>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</si>
  <si>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</si>
  <si>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</si>
  <si>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</si>
  <si>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</si>
  <si>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</si>
  <si>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</si>
  <si>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</si>
  <si>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</si>
  <si>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</si>
  <si>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</si>
  <si>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</si>
  <si>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</si>
  <si>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</si>
  <si>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</si>
  <si>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</si>
  <si>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</si>
  <si>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</si>
  <si>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</si>
  <si>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</si>
  <si>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</si>
  <si>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</si>
  <si>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</si>
  <si>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</si>
  <si>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</si>
  <si>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</si>
  <si>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</si>
  <si>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</si>
  <si>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</si>
  <si>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</si>
  <si>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</si>
  <si>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</si>
  <si>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</si>
  <si>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</si>
  <si>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</si>
  <si>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</si>
  <si>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</si>
  <si>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</si>
  <si>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</si>
  <si>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</si>
  <si>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</si>
  <si>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</si>
  <si>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</si>
  <si>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</si>
  <si>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</si>
  <si>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</si>
  <si>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</si>
  <si>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</si>
  <si>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</si>
  <si>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</si>
  <si>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</si>
  <si>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</si>
  <si>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</si>
  <si>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</si>
  <si>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</si>
  <si>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</si>
  <si>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</si>
  <si>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</si>
  <si>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</si>
  <si>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</si>
  <si>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</si>
  <si>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</si>
  <si>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</si>
  <si>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</si>
  <si>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</si>
  <si>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</si>
  <si>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</si>
  <si>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</si>
  <si>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</si>
  <si>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</si>
  <si>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</si>
  <si>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</si>
  <si>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</si>
  <si>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</si>
  <si>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</si>
  <si>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</si>
  <si>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</si>
  <si>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</si>
  <si>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</si>
  <si>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</si>
  <si>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</si>
  <si>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</si>
  <si>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</si>
  <si>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</si>
  <si>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</si>
  <si>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</si>
  <si>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</si>
  <si>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</si>
  <si>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</si>
  <si>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</si>
  <si>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</si>
  <si>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</si>
  <si>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</si>
  <si>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</si>
  <si>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</si>
  <si>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</si>
  <si>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</si>
  <si>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</si>
  <si>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</si>
  <si>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</si>
  <si>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</si>
  <si>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</si>
  <si>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</si>
  <si>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</si>
  <si>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</si>
  <si>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</si>
  <si>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</si>
  <si>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</si>
  <si>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</si>
  <si>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</si>
  <si>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</si>
  <si>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</si>
  <si>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</si>
  <si>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</si>
  <si>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</si>
  <si>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</si>
  <si>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</si>
  <si>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</si>
  <si>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</si>
  <si>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</si>
  <si>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</si>
  <si>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</si>
  <si>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</si>
  <si>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</si>
  <si>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</si>
  <si>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</si>
  <si>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</si>
  <si>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</si>
  <si>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</si>
  <si>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</si>
  <si>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</si>
  <si>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</si>
  <si>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</si>
  <si>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</si>
  <si>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</si>
  <si>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</si>
  <si>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</si>
  <si>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</si>
  <si>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</si>
  <si>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</si>
  <si>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</si>
  <si>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</si>
  <si>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</si>
  <si>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</si>
  <si>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</si>
  <si>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</si>
  <si>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</si>
  <si>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</si>
  <si>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</si>
  <si>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</si>
  <si>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</si>
  <si>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</si>
  <si>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</si>
  <si>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</si>
  <si>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</si>
  <si>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</si>
  <si>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</si>
  <si>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</si>
  <si>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</si>
  <si>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</si>
  <si>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</si>
  <si>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</si>
  <si>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</si>
  <si>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</si>
  <si>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</si>
  <si>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</si>
  <si>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</si>
  <si>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</si>
  <si>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</si>
  <si>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</si>
  <si>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</si>
  <si>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</si>
  <si>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</si>
  <si>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</si>
  <si>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</si>
  <si>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</si>
  <si>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</si>
  <si>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</si>
  <si>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</si>
  <si>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</si>
  <si>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</si>
  <si>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</si>
  <si>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</si>
  <si>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</si>
  <si>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</si>
  <si>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</si>
  <si>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</si>
  <si>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</si>
  <si>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</si>
  <si>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</si>
  <si>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</si>
  <si>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</si>
  <si>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</si>
  <si>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</si>
  <si>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</si>
  <si>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</si>
  <si>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</si>
  <si>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</si>
  <si>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</si>
  <si>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</si>
  <si>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</si>
  <si>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</si>
  <si>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</si>
  <si>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</si>
  <si>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</si>
  <si>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</si>
  <si>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</si>
  <si>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</si>
  <si>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</si>
  <si>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</si>
  <si>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</si>
  <si>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</si>
  <si>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</si>
  <si>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</si>
  <si>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</si>
  <si>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</si>
  <si>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</si>
  <si>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</si>
  <si>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</si>
  <si>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</si>
  <si>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</si>
  <si>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</si>
  <si>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</si>
  <si>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</si>
  <si>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</si>
  <si>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</si>
  <si>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</si>
  <si>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</si>
  <si>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</si>
  <si>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</si>
  <si>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</si>
  <si>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</si>
  <si>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</si>
  <si>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</si>
  <si>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</si>
  <si>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</si>
  <si>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</si>
  <si>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</si>
  <si>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</si>
  <si>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</si>
  <si>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</si>
  <si>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</si>
  <si>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</si>
  <si>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</si>
  <si>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</si>
  <si>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</si>
  <si>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</si>
  <si>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</si>
  <si>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</si>
  <si>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</si>
  <si>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</si>
  <si>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</si>
  <si>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</si>
  <si>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</si>
  <si>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</si>
  <si>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</si>
  <si>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</si>
  <si>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</si>
  <si>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</si>
  <si>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</si>
  <si>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</si>
  <si>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</si>
  <si>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</si>
  <si>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</si>
  <si>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</si>
  <si>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</si>
  <si>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</si>
  <si>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</si>
  <si>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</si>
  <si>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</si>
  <si>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</si>
  <si>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</si>
  <si>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</si>
  <si>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</si>
  <si>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</si>
  <si>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</si>
  <si>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</si>
  <si>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</si>
  <si>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</si>
  <si>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</si>
  <si>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</si>
  <si>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</si>
  <si>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</si>
  <si>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</si>
  <si>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</si>
  <si>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</si>
  <si>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</si>
  <si>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</si>
  <si>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</si>
  <si>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</si>
  <si>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</si>
  <si>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</si>
  <si>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</si>
  <si>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</si>
  <si>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</si>
  <si>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</si>
  <si>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</si>
  <si>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</si>
  <si>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</si>
  <si>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</si>
  <si>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</si>
  <si>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</si>
  <si>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</si>
  <si>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</si>
  <si>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</si>
  <si>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</si>
  <si>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</si>
  <si>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</si>
  <si>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</si>
  <si>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</si>
  <si>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</si>
  <si>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</si>
  <si>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</si>
  <si>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</si>
  <si>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</si>
  <si>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</si>
  <si>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</si>
  <si>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</si>
  <si>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</si>
  <si>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</si>
  <si>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</si>
  <si>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</si>
  <si>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</si>
  <si>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</si>
  <si>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</si>
  <si>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</si>
  <si>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</si>
  <si>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</si>
  <si>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</si>
  <si>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</si>
  <si>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</si>
  <si>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</si>
  <si>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</si>
  <si>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</si>
  <si>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</si>
  <si>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</si>
  <si>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</si>
  <si>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</si>
  <si>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</si>
  <si>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</si>
  <si>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</si>
  <si>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</si>
  <si>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</si>
  <si>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</si>
  <si>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</si>
  <si>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</si>
  <si>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</si>
  <si>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</si>
  <si>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</si>
  <si>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</si>
  <si>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</si>
  <si>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</si>
  <si>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</si>
  <si>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</si>
  <si>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</si>
  <si>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</si>
  <si>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</si>
  <si>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</si>
  <si>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</si>
  <si>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</si>
  <si>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</si>
  <si>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</si>
  <si>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</si>
  <si>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</si>
  <si>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</si>
  <si>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</si>
  <si>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</si>
  <si>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</si>
  <si>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</si>
  <si>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</si>
  <si>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</si>
  <si>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</si>
  <si>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</si>
  <si>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</si>
  <si>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</si>
  <si>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</si>
  <si>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</si>
  <si>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</si>
  <si>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</si>
  <si>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</si>
  <si>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</si>
  <si>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</si>
  <si>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</si>
  <si>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</si>
  <si>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</si>
  <si>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</si>
  <si>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</si>
  <si>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</si>
  <si>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</si>
  <si>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</si>
  <si>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</si>
  <si>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</si>
  <si>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</si>
  <si>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</si>
  <si>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</si>
  <si>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</si>
  <si>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</si>
  <si>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</si>
  <si>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</si>
  <si>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</si>
  <si>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</si>
  <si>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</si>
  <si>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</si>
  <si>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</si>
  <si>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</si>
  <si>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</si>
  <si>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</si>
  <si>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</si>
  <si>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</si>
  <si>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</si>
  <si>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</si>
  <si>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</si>
  <si>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</si>
  <si>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</si>
  <si>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</si>
  <si>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</si>
  <si>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</si>
  <si>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</si>
  <si>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</si>
  <si>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</si>
  <si>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</si>
  <si>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</si>
  <si>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</si>
  <si>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</si>
  <si>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</si>
  <si>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</si>
  <si>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</si>
  <si>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</si>
  <si>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</si>
  <si>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</si>
  <si>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</si>
  <si>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</si>
  <si>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</si>
  <si>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</si>
  <si>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</si>
  <si>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</si>
  <si>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</si>
  <si>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</si>
  <si>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</si>
  <si>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</si>
  <si>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</si>
  <si>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</si>
  <si>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</si>
  <si>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</si>
  <si>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</si>
  <si>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</si>
  <si>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</si>
  <si>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</si>
  <si>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</si>
  <si>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</si>
  <si>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</si>
  <si>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</si>
  <si>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</si>
  <si>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</si>
  <si>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</si>
  <si>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</si>
  <si>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</si>
  <si>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</si>
  <si>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</si>
  <si>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</si>
  <si>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</si>
  <si>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</si>
  <si>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</si>
  <si>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</si>
  <si>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</si>
  <si>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</si>
  <si>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</si>
  <si>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</si>
  <si>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</si>
  <si>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</si>
  <si>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</si>
  <si>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</si>
  <si>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</si>
  <si>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</si>
  <si>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</si>
  <si>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</si>
  <si>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</si>
  <si>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</si>
  <si>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</si>
  <si>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</si>
  <si>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</si>
  <si>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</si>
  <si>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</si>
  <si>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</si>
  <si>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</si>
  <si>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</si>
  <si>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</si>
  <si>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</si>
  <si>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</si>
  <si>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</si>
  <si>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</si>
  <si>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</si>
  <si>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</si>
  <si>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</si>
  <si>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</si>
  <si>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</si>
  <si>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</si>
  <si>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</si>
  <si>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</si>
  <si>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</si>
  <si>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</si>
  <si>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</si>
  <si>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</si>
  <si>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</si>
  <si>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</si>
  <si>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</si>
  <si>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</si>
  <si>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</si>
  <si>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</si>
  <si>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</si>
  <si>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</si>
  <si>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</si>
  <si>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</si>
  <si>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</si>
  <si>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</si>
  <si>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</si>
  <si>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</si>
  <si>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</si>
  <si>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</si>
  <si>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</si>
  <si>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</si>
  <si>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</si>
  <si>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</si>
  <si>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</si>
  <si>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</si>
  <si>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</si>
  <si>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</si>
  <si>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</si>
  <si>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</si>
  <si>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</si>
  <si>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</si>
  <si>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</si>
  <si>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</si>
  <si>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</si>
  <si>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</si>
  <si>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</si>
  <si>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</si>
  <si>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</si>
  <si>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</si>
  <si>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</si>
  <si>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</si>
  <si>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</si>
  <si>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</si>
  <si>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</si>
  <si>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</si>
  <si>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</si>
  <si>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</si>
  <si>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</si>
  <si>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</si>
  <si>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</si>
  <si>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</si>
  <si>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</si>
  <si>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</si>
  <si>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</si>
  <si>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</si>
  <si>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</si>
  <si>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</si>
  <si>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</si>
  <si>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</si>
  <si>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</si>
  <si>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</si>
  <si>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</si>
  <si>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</si>
  <si>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</si>
  <si>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</si>
  <si>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</si>
  <si>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</si>
  <si>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</si>
  <si>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</si>
  <si>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</si>
  <si>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</si>
  <si>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</si>
  <si>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</si>
  <si>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</si>
  <si>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</si>
  <si>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</si>
  <si>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</si>
  <si>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</si>
  <si>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</si>
  <si>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</si>
  <si>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</si>
  <si>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</si>
  <si>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</si>
  <si>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</si>
  <si>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</si>
  <si>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</si>
  <si>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</si>
  <si>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</si>
  <si>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</si>
  <si>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</si>
  <si>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</si>
  <si>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</si>
  <si>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</si>
  <si>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</si>
  <si>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</si>
  <si>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</si>
  <si>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</si>
  <si>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</si>
  <si>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</si>
  <si>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</si>
  <si>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</si>
  <si>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</si>
  <si>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</si>
  <si>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</si>
  <si>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</si>
  <si>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</si>
  <si>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</si>
  <si>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</si>
  <si>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</si>
  <si>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</si>
  <si>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</si>
  <si>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</si>
  <si>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</si>
  <si>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</si>
  <si>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</si>
  <si>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</si>
  <si>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</si>
  <si>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</si>
  <si>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</si>
  <si>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</si>
  <si>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</si>
  <si>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</si>
  <si>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</si>
  <si>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</si>
  <si>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</si>
  <si>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</si>
  <si>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</si>
  <si>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</si>
  <si>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</si>
  <si>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</si>
  <si>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</si>
  <si>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</si>
  <si>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</si>
  <si>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</si>
  <si>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</si>
  <si>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</si>
  <si>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</si>
  <si>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</si>
  <si>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</si>
  <si>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</si>
  <si>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</si>
  <si>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</si>
  <si>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</si>
  <si>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</si>
  <si>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</si>
  <si>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</si>
  <si>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</si>
  <si>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</si>
  <si>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</si>
  <si>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</si>
  <si>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</si>
  <si>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</si>
  <si>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</si>
  <si>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</si>
  <si>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</si>
  <si>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</si>
  <si>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</si>
  <si>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</si>
  <si>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</si>
  <si>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</si>
  <si>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</si>
  <si>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</si>
  <si>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</si>
  <si>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</si>
  <si>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</si>
  <si>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</si>
  <si>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</si>
  <si>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</si>
  <si>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</si>
  <si>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</si>
  <si>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</si>
  <si>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</si>
  <si>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</si>
  <si>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</si>
  <si>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</si>
  <si>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</si>
  <si>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</si>
  <si>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</si>
  <si>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</si>
  <si>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</si>
  <si>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</si>
  <si>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</si>
  <si>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</si>
  <si>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</si>
  <si>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</si>
  <si>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</si>
  <si>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</si>
  <si>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</si>
  <si>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</si>
  <si>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</si>
  <si>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</si>
  <si>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</si>
  <si>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</si>
  <si>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</si>
  <si>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</si>
  <si>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</si>
  <si>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</si>
  <si>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</si>
  <si>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</si>
  <si>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</si>
  <si>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</si>
  <si>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</si>
  <si>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</si>
  <si>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</si>
  <si>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</si>
  <si>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</si>
  <si>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</si>
  <si>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</si>
  <si>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</si>
  <si>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</si>
  <si>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</si>
  <si>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</si>
  <si>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</si>
  <si>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</si>
  <si>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</si>
  <si>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</si>
  <si>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</si>
  <si>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</si>
  <si>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</si>
  <si>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</si>
  <si>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</si>
  <si>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</si>
  <si>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</si>
  <si>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</si>
  <si>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</si>
  <si>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</si>
  <si>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</si>
  <si>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</si>
  <si>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</si>
  <si>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</si>
  <si>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</si>
  <si>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</si>
  <si>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</si>
  <si>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</si>
  <si>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</si>
  <si>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</si>
  <si>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</si>
  <si>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</si>
  <si>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</si>
  <si>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</si>
  <si>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</si>
  <si>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</si>
  <si>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</si>
  <si>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</si>
  <si>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</si>
  <si>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</si>
  <si>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</si>
  <si>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</si>
  <si>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</si>
  <si>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</si>
  <si>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</si>
  <si>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</si>
  <si>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</si>
  <si>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</si>
  <si>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</si>
  <si>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</si>
  <si>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</si>
  <si>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</si>
  <si>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</si>
  <si>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</si>
  <si>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</si>
  <si>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</si>
  <si>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</si>
  <si>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</si>
  <si>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</si>
  <si>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</si>
  <si>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</si>
  <si>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</si>
  <si>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</si>
  <si>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</si>
  <si>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</si>
  <si>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</si>
  <si>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</si>
  <si>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</si>
  <si>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</si>
  <si>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</si>
  <si>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</si>
  <si>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</si>
  <si>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</si>
  <si>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</si>
  <si>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</si>
  <si>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</si>
  <si>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</si>
  <si>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</si>
  <si>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</si>
  <si>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</si>
  <si>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</si>
  <si>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</si>
  <si>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</si>
  <si>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</si>
  <si>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</si>
  <si>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</si>
  <si>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</si>
  <si>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</si>
  <si>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</si>
  <si>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</si>
  <si>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</si>
  <si>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</si>
  <si>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</si>
  <si>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</si>
  <si>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</si>
  <si>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</si>
  <si>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</si>
  <si>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</si>
  <si>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</si>
  <si>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</si>
  <si>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</si>
  <si>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</si>
  <si>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</si>
  <si>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</si>
  <si>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</si>
  <si>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</si>
  <si>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</si>
  <si>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</si>
  <si>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</si>
  <si>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</si>
  <si>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</si>
  <si>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</si>
  <si>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</si>
  <si>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</si>
  <si>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</si>
  <si>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</si>
  <si>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</si>
  <si>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</si>
  <si>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</si>
  <si>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</si>
  <si>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</si>
  <si>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</si>
  <si>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</si>
  <si>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</si>
  <si>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</si>
  <si>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</si>
  <si>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</si>
  <si>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</si>
  <si>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</si>
  <si>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</si>
  <si>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</si>
  <si>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</si>
  <si>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</si>
  <si>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</si>
  <si>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</si>
  <si>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</si>
  <si>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</si>
  <si>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</si>
  <si>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</si>
  <si>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</si>
  <si>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</si>
  <si>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</si>
  <si>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</si>
  <si>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</si>
  <si>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</si>
  <si>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</si>
  <si>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</si>
  <si>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</si>
  <si>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</si>
  <si>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</si>
  <si>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</si>
  <si>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</si>
  <si>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</si>
  <si>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</si>
  <si>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</si>
  <si>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</si>
  <si>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</si>
  <si>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</si>
  <si>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</si>
  <si>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</si>
  <si>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</si>
  <si>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</si>
  <si>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</si>
  <si>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</si>
  <si>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</si>
  <si>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</si>
  <si>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</si>
  <si>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</si>
  <si>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</si>
  <si>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</si>
  <si>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</si>
  <si>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</si>
  <si>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</si>
  <si>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</si>
  <si>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</si>
  <si>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</si>
  <si>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</si>
  <si>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</si>
  <si>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</si>
  <si>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</si>
  <si>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</si>
  <si>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</si>
  <si>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</si>
  <si>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</si>
  <si>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</si>
  <si>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</si>
  <si>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</si>
  <si>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</si>
  <si>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</si>
  <si>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</si>
  <si>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</si>
  <si>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</si>
  <si>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</si>
  <si>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</si>
  <si>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</si>
  <si>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</si>
  <si>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</si>
  <si>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</si>
  <si>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</si>
  <si>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</si>
  <si>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</si>
  <si>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</si>
  <si>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</si>
  <si>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</si>
  <si>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</si>
  <si>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</si>
  <si>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</si>
  <si>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</si>
  <si>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</si>
  <si>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</si>
  <si>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</si>
  <si>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</si>
  <si>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</si>
  <si>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</si>
  <si>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</si>
  <si>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</si>
  <si>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</si>
  <si>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</si>
  <si>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</si>
  <si>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</si>
  <si>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</si>
  <si>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</si>
  <si>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</si>
  <si>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</si>
  <si>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</si>
  <si>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</si>
  <si>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</si>
  <si>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</si>
  <si>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</si>
  <si>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</si>
  <si>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</si>
  <si>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</si>
  <si>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</si>
  <si>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</si>
  <si>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</si>
  <si>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</si>
  <si>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</si>
  <si>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</si>
  <si>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</si>
  <si>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</si>
  <si>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</si>
  <si>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</si>
  <si>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</si>
  <si>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</si>
  <si>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</si>
  <si>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</si>
  <si>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</si>
  <si>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</si>
  <si>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</si>
  <si>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</si>
  <si>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</si>
  <si>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</si>
  <si>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</si>
  <si>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</si>
  <si>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</si>
  <si>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</si>
  <si>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</si>
  <si>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</si>
  <si>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</si>
  <si>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</si>
  <si>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</si>
  <si>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</si>
  <si>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</si>
  <si>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</si>
  <si>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</si>
  <si>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</si>
  <si>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</si>
  <si>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</si>
  <si>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</si>
  <si>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</si>
  <si>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</si>
  <si>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</si>
  <si>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</si>
  <si>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</si>
  <si>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</si>
  <si>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</si>
  <si>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</si>
  <si>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</si>
  <si>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</si>
  <si>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</si>
  <si>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</si>
  <si>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</si>
  <si>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</si>
  <si>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</si>
  <si>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</si>
  <si>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</si>
  <si>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</si>
  <si>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</si>
  <si>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</si>
  <si>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</si>
  <si>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</si>
  <si>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</si>
  <si>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</si>
  <si>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</si>
  <si>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</si>
  <si>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</si>
  <si>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</si>
  <si>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</si>
  <si>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</si>
  <si>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</si>
  <si>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</si>
  <si>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</si>
  <si>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</si>
  <si>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</si>
  <si>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</si>
  <si>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</si>
  <si>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</si>
  <si>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</si>
  <si>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</si>
  <si>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</si>
  <si>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</si>
  <si>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</si>
  <si>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</si>
  <si>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</si>
  <si>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</si>
  <si>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</si>
  <si>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</si>
  <si>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</si>
  <si>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</si>
  <si>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</si>
  <si>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</si>
  <si>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</si>
  <si>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</si>
  <si>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</si>
  <si>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</si>
  <si>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</si>
  <si>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</si>
  <si>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</si>
  <si>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</si>
  <si>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</si>
  <si>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</si>
  <si>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</si>
  <si>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</si>
  <si>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</si>
  <si>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</si>
  <si>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</si>
  <si>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</si>
  <si>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</si>
  <si>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</si>
  <si>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</si>
  <si>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</si>
  <si>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</si>
  <si>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</si>
  <si>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</si>
  <si>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</si>
  <si>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</si>
  <si>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</si>
  <si>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</si>
  <si>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</si>
  <si>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</si>
  <si>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</si>
  <si>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</si>
  <si>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</si>
  <si>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</si>
  <si>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</si>
  <si>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</si>
  <si>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</si>
  <si>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</si>
  <si>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</si>
  <si>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</si>
  <si>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</si>
  <si>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</si>
  <si>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</si>
  <si>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</si>
  <si>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</si>
  <si>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</si>
  <si>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</si>
  <si>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</si>
  <si>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</si>
  <si>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</si>
  <si>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</si>
  <si>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</si>
  <si>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</si>
  <si>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</si>
  <si>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</si>
  <si>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</si>
  <si>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</si>
  <si>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</si>
  <si>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</si>
  <si>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</si>
  <si>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</si>
  <si>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</si>
  <si>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</si>
  <si>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</si>
  <si>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</si>
  <si>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</si>
  <si>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</si>
  <si>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</si>
  <si>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</si>
  <si>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</si>
  <si>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</si>
  <si>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</si>
  <si>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</si>
  <si>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</si>
  <si>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</si>
  <si>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</si>
  <si>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</si>
  <si>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</si>
  <si>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</si>
  <si>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</si>
  <si>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</si>
  <si>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</si>
  <si>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</si>
  <si>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</si>
  <si>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</si>
  <si>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</si>
  <si>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</si>
  <si>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</si>
  <si>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</si>
  <si>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</si>
  <si>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</si>
  <si>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</si>
  <si>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</si>
  <si>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</si>
  <si>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</si>
  <si>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</si>
  <si>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</si>
  <si>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</si>
  <si>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</si>
  <si>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</si>
  <si>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</si>
  <si>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</si>
  <si>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</si>
  <si>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</si>
  <si>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</si>
  <si>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</si>
  <si>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</si>
  <si>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</si>
  <si>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</si>
  <si>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</si>
  <si>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</si>
  <si>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</si>
  <si>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</si>
  <si>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</si>
  <si>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</si>
  <si>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</si>
  <si>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</si>
  <si>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</si>
  <si>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</si>
  <si>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</si>
  <si>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</si>
  <si>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</si>
  <si>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</si>
  <si>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</si>
  <si>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</si>
  <si>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</si>
  <si>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</si>
  <si>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</si>
  <si>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</si>
  <si>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</si>
  <si>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</si>
  <si>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</si>
  <si>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</si>
  <si>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</si>
  <si>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</si>
  <si>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</si>
  <si>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</si>
  <si>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</si>
  <si>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</si>
  <si>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</si>
  <si>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</si>
  <si>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</si>
  <si>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</si>
  <si>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</si>
  <si>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</si>
  <si>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</si>
  <si>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</si>
  <si>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</si>
  <si>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</si>
  <si>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</si>
  <si>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</si>
  <si>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</si>
  <si>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</si>
  <si>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</si>
  <si>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</si>
  <si>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</si>
  <si>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</si>
  <si>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</si>
  <si>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</si>
  <si>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</si>
  <si>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</si>
  <si>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</si>
  <si>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</si>
  <si>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</si>
  <si>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</si>
  <si>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</si>
  <si>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</si>
  <si>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</si>
  <si>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</si>
  <si>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</si>
  <si>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</si>
  <si>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</si>
  <si>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</si>
  <si>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</si>
  <si>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</si>
  <si>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</si>
  <si>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</si>
  <si>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</si>
  <si>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</si>
  <si>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</si>
  <si>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</si>
  <si>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</si>
  <si>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</si>
  <si>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</si>
  <si>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</si>
  <si>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</si>
  <si>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</si>
  <si>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</si>
  <si>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</si>
  <si>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</si>
  <si>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</si>
  <si>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</si>
  <si>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</si>
  <si>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</si>
  <si>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</si>
  <si>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</si>
  <si>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</si>
  <si>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</si>
  <si>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</si>
  <si>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</si>
  <si>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</si>
  <si>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</si>
  <si>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</si>
  <si>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</si>
  <si>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</si>
  <si>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</si>
  <si>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</si>
  <si>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</si>
  <si>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</si>
  <si>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</si>
  <si>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</si>
  <si>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</si>
  <si>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</si>
  <si>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</si>
  <si>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</si>
  <si>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</si>
  <si>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</si>
  <si>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</si>
  <si>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</si>
  <si>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</si>
  <si>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</si>
  <si>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</si>
  <si>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</si>
  <si>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</si>
  <si>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</si>
  <si>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</si>
  <si>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</si>
  <si>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</si>
  <si>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</si>
  <si>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</si>
  <si>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</si>
  <si>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</si>
  <si>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</si>
  <si>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</si>
  <si>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</si>
  <si>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</si>
  <si>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</si>
  <si>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</si>
  <si>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</si>
  <si>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</si>
  <si>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</si>
  <si>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</si>
  <si>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</si>
  <si>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</si>
  <si>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</si>
  <si>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</si>
  <si>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</si>
  <si>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</si>
  <si>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</si>
  <si>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</si>
  <si>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</si>
  <si>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</si>
  <si>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</si>
  <si>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</si>
  <si>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</si>
  <si>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</si>
  <si>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</si>
  <si>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</si>
  <si>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</si>
  <si>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</si>
  <si>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</si>
  <si>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</si>
  <si>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</si>
  <si>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</si>
  <si>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</si>
  <si>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</si>
  <si>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</si>
  <si>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</si>
  <si>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</si>
  <si>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</si>
  <si>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</si>
  <si>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</si>
  <si>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</si>
  <si>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</si>
  <si>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</si>
  <si>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</si>
  <si>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</si>
  <si>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</si>
  <si>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</si>
  <si>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</si>
  <si>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</si>
  <si>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</si>
  <si>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</si>
  <si>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</si>
  <si>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</si>
  <si>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</si>
  <si>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</si>
  <si>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</si>
  <si>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</si>
  <si>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</si>
  <si>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</si>
  <si>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</si>
  <si>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</si>
  <si>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</si>
  <si>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</si>
  <si>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</si>
  <si>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</si>
  <si>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</si>
  <si>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</si>
  <si>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</si>
  <si>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</si>
  <si>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</si>
  <si>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</si>
  <si>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</si>
  <si>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</si>
  <si>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</si>
  <si>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</si>
  <si>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</si>
  <si>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</si>
  <si>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</si>
  <si>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</si>
  <si>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</si>
  <si>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</si>
  <si>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</si>
  <si>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</si>
  <si>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</si>
  <si>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</si>
  <si>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</si>
  <si>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</si>
  <si>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</si>
  <si>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</si>
  <si>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</si>
  <si>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</si>
  <si>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</si>
  <si>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</si>
  <si>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</si>
  <si>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</si>
  <si>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</si>
  <si>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</si>
  <si>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</si>
  <si>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</si>
  <si>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</si>
  <si>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</si>
  <si>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</si>
  <si>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</si>
  <si>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</si>
  <si>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</si>
  <si>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</si>
  <si>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</si>
  <si>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</si>
  <si>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</si>
  <si>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</si>
  <si>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</si>
  <si>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</si>
  <si>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</si>
  <si>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</si>
  <si>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</si>
  <si>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</si>
  <si>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</si>
  <si>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</si>
  <si>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</si>
  <si>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</si>
  <si>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</si>
  <si>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</si>
  <si>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</si>
  <si>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</si>
  <si>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</si>
  <si>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</si>
  <si>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</si>
  <si>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</si>
  <si>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</si>
  <si>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</si>
  <si>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</si>
  <si>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</si>
  <si>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</si>
  <si>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</si>
  <si>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</si>
  <si>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</si>
  <si>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</si>
  <si>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</si>
  <si>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</si>
  <si>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</si>
  <si>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</si>
  <si>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</si>
  <si>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</si>
  <si>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</si>
  <si>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</si>
  <si>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</si>
  <si>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</si>
  <si>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</si>
  <si>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</si>
  <si>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</si>
  <si>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</si>
  <si>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</si>
  <si>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</si>
  <si>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</si>
  <si>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</si>
  <si>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</si>
  <si>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</si>
  <si>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</si>
  <si>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</si>
  <si>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</si>
  <si>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</si>
  <si>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</si>
  <si>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</si>
  <si>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</si>
  <si>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</si>
  <si>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</si>
  <si>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</si>
  <si>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</si>
  <si>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</si>
  <si>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</si>
  <si>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</si>
  <si>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</si>
  <si>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</si>
  <si>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</si>
  <si>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</si>
  <si>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</si>
  <si>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</si>
  <si>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</si>
  <si>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</si>
  <si>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</si>
  <si>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</si>
  <si>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</si>
  <si>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</si>
  <si>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</si>
  <si>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</si>
  <si>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</si>
  <si>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</si>
  <si>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</si>
  <si>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</si>
  <si>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</si>
  <si>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</si>
  <si>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</si>
  <si>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</si>
  <si>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</si>
  <si>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</si>
  <si>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</si>
  <si>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</si>
  <si>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</si>
  <si>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</si>
  <si>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</si>
  <si>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</si>
  <si>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</si>
  <si>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</si>
  <si>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</si>
  <si>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</si>
  <si>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</si>
  <si>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</si>
  <si>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</si>
  <si>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</si>
  <si>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</si>
  <si>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</si>
  <si>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</si>
  <si>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</si>
  <si>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</si>
  <si>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</si>
  <si>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</si>
  <si>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</si>
  <si>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</si>
  <si>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</si>
  <si>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</si>
  <si>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</si>
  <si>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</si>
  <si>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</si>
  <si>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</si>
  <si>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</si>
  <si>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</si>
  <si>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</si>
  <si>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</si>
  <si>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</si>
  <si>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</si>
  <si>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</si>
  <si>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</si>
  <si>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</si>
  <si>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</si>
  <si>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</si>
  <si>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</si>
  <si>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</si>
  <si>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</si>
  <si>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</si>
  <si>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</si>
  <si>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</si>
  <si>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</si>
  <si>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</si>
  <si>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</si>
  <si>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</si>
  <si>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</si>
  <si>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</si>
  <si>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</si>
  <si>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</si>
  <si>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</si>
  <si>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</si>
  <si>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</si>
  <si>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</si>
  <si>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</si>
  <si>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</si>
  <si>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</si>
  <si>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</si>
  <si>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</si>
  <si>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</si>
  <si>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</si>
  <si>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</si>
  <si>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</si>
  <si>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</si>
  <si>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</si>
  <si>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</si>
  <si>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</si>
  <si>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</si>
  <si>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</si>
  <si>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</si>
  <si>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</si>
  <si>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</si>
  <si>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</si>
  <si>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</si>
  <si>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</si>
  <si>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</si>
  <si>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</si>
  <si>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</si>
  <si>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</si>
  <si>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</si>
  <si>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</si>
  <si>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</si>
  <si>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</si>
  <si>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</si>
  <si>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</si>
  <si>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</si>
  <si>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</si>
  <si>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</si>
  <si>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</si>
  <si>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</si>
  <si>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</si>
  <si>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</si>
  <si>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</si>
  <si>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</si>
  <si>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</si>
  <si>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</si>
  <si>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</si>
  <si>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</si>
  <si>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</si>
  <si>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</si>
  <si>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</si>
  <si>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</si>
  <si>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</si>
  <si>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</si>
  <si>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</si>
  <si>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</si>
  <si>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</si>
  <si>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</si>
  <si>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</si>
  <si>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</si>
  <si>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</si>
  <si>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</si>
  <si>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</si>
  <si>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</si>
  <si>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</si>
  <si>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</si>
  <si>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</si>
  <si>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</si>
  <si>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</si>
  <si>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</si>
  <si>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</si>
  <si>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</si>
  <si>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</si>
  <si>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</si>
  <si>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</si>
  <si>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</si>
  <si>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</si>
  <si>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</si>
  <si>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</si>
  <si>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</si>
  <si>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</si>
  <si>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</si>
  <si>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</si>
  <si>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</si>
  <si>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</si>
  <si>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</si>
  <si>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</si>
  <si>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</si>
  <si>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</si>
  <si>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</si>
  <si>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</si>
  <si>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</si>
  <si>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</si>
  <si>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</si>
  <si>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</si>
  <si>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</si>
  <si>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</si>
  <si>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</si>
  <si>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</si>
  <si>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</si>
  <si>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</si>
  <si>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</si>
  <si>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</si>
  <si>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</si>
  <si>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</si>
  <si>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</si>
  <si>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</si>
  <si>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</si>
  <si>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</si>
  <si>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</si>
  <si>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</si>
  <si>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</si>
  <si>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</si>
  <si>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</si>
  <si>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</si>
  <si>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</si>
  <si>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</si>
  <si>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</si>
  <si>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</si>
  <si>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</si>
  <si>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</si>
  <si>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</si>
  <si>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</si>
  <si>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</si>
  <si>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</si>
  <si>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</si>
  <si>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</si>
  <si>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</si>
  <si>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</si>
  <si>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</si>
  <si>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</si>
  <si>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</si>
  <si>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</si>
  <si>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</si>
  <si>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</si>
  <si>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</si>
  <si>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</si>
  <si>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</si>
  <si>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</si>
  <si>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</si>
  <si>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</si>
  <si>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</si>
  <si>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</si>
  <si>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</si>
  <si>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</si>
  <si>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</si>
  <si>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</si>
  <si>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</si>
  <si>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</si>
  <si>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</si>
  <si>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</si>
  <si>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</si>
  <si>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</si>
  <si>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</si>
  <si>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</si>
  <si>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</si>
  <si>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</si>
  <si>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</si>
  <si>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</si>
  <si>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</si>
  <si>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</si>
  <si>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</si>
  <si>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</si>
  <si>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</si>
  <si>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</si>
  <si>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</si>
  <si>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</si>
  <si>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</si>
  <si>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</si>
  <si>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</si>
  <si>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</si>
  <si>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</si>
  <si>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</si>
  <si>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</si>
  <si>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</si>
  <si>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</si>
  <si>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</si>
  <si>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</si>
  <si>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</si>
  <si>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</si>
  <si>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</si>
  <si>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</si>
  <si>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</si>
  <si>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</si>
  <si>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</si>
  <si>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</si>
  <si>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</si>
  <si>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</si>
  <si>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</si>
  <si>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</si>
  <si>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</si>
  <si>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</si>
  <si>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</si>
  <si>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</si>
  <si>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</si>
  <si>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</si>
  <si>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</si>
  <si>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</si>
  <si>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</si>
  <si>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</si>
  <si>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</si>
  <si>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</si>
  <si>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</si>
  <si>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</si>
  <si>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</si>
  <si>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</si>
  <si>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</si>
  <si>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</si>
  <si>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</si>
  <si>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</si>
  <si>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</si>
  <si>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</si>
  <si>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</si>
  <si>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</si>
  <si>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</si>
  <si>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</si>
  <si>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</si>
  <si>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</si>
  <si>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</si>
  <si>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</si>
  <si>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</si>
  <si>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</si>
  <si>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</si>
  <si>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</si>
  <si>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</si>
  <si>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</si>
  <si>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</si>
  <si>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</si>
  <si>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</si>
  <si>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</si>
  <si>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</si>
  <si>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</si>
  <si>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</si>
  <si>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</si>
  <si>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</si>
  <si>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</si>
  <si>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</si>
  <si>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</si>
  <si>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</si>
  <si>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</si>
  <si>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</si>
  <si>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</si>
  <si>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</si>
  <si>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</si>
  <si>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</si>
  <si>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</si>
  <si>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</si>
  <si>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</si>
  <si>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</si>
  <si>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</si>
  <si>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</si>
  <si>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</si>
  <si>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</si>
  <si>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</si>
  <si>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</si>
  <si>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</si>
  <si>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</si>
  <si>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</si>
  <si>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</si>
  <si>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</si>
  <si>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</si>
  <si>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</si>
  <si>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</si>
  <si>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</si>
  <si>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</si>
  <si>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</si>
  <si>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</si>
  <si>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</si>
  <si>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</si>
  <si>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</si>
  <si>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</si>
  <si>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</si>
  <si>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</si>
  <si>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</si>
  <si>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</si>
  <si>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</si>
  <si>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</si>
  <si>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</si>
  <si>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</si>
  <si>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</si>
  <si>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</si>
  <si>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</si>
  <si>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</si>
  <si>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</si>
  <si>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</si>
  <si>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</si>
  <si>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</si>
  <si>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</si>
  <si>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</si>
  <si>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</si>
  <si>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</si>
  <si>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</si>
  <si>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</si>
  <si>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</si>
  <si>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</si>
  <si>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</si>
  <si>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</si>
  <si>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</si>
  <si>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</si>
  <si>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</si>
  <si>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</si>
  <si>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</si>
  <si>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</si>
  <si>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</si>
  <si>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</si>
  <si>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</si>
  <si>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</si>
  <si>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</si>
  <si>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</si>
  <si>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</si>
  <si>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</si>
  <si>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</si>
  <si>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</si>
  <si>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</si>
  <si>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</si>
  <si>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</si>
  <si>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</si>
  <si>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</si>
  <si>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</si>
  <si>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</si>
  <si>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</si>
  <si>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</si>
  <si>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</si>
  <si>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</si>
  <si>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</si>
  <si>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</si>
  <si>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</si>
  <si>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</si>
  <si>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</si>
  <si>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</si>
  <si>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</si>
  <si>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</si>
  <si>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</si>
  <si>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</si>
  <si>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</si>
  <si>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</si>
  <si>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</si>
  <si>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</si>
  <si>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</si>
  <si>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</si>
  <si>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</si>
  <si>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</si>
  <si>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</si>
  <si>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</si>
  <si>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</si>
  <si>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</si>
  <si>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</si>
  <si>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</si>
  <si>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</si>
  <si>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</si>
  <si>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</si>
  <si>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</si>
  <si>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</si>
  <si>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</si>
  <si>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</si>
  <si>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</si>
  <si>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</si>
  <si>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</si>
  <si>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</si>
  <si>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</si>
  <si>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</si>
  <si>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</si>
  <si>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</si>
  <si>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</si>
  <si>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</si>
  <si>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</si>
  <si>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</si>
  <si>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</si>
  <si>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</si>
  <si>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</si>
  <si>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</si>
  <si>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</si>
  <si>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</si>
  <si>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</si>
  <si>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</si>
  <si>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</si>
  <si>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</si>
  <si>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</si>
  <si>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</si>
  <si>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</si>
  <si>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</si>
  <si>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</si>
  <si>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</si>
  <si>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</si>
  <si>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</si>
  <si>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</si>
  <si>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</si>
  <si>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</si>
  <si>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</si>
  <si>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</si>
  <si>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</si>
  <si>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</si>
  <si>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</si>
  <si>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</si>
  <si>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</si>
  <si>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</si>
  <si>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</si>
  <si>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</si>
  <si>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</si>
  <si>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</si>
  <si>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</si>
  <si>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</si>
  <si>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</si>
  <si>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</si>
  <si>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</si>
  <si>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</si>
  <si>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</si>
  <si>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</si>
  <si>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</si>
  <si>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</si>
  <si>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</si>
  <si>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</si>
  <si>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</si>
  <si>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</si>
  <si>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</si>
  <si>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</si>
  <si>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</si>
  <si>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</si>
  <si>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</si>
  <si>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</si>
  <si>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</si>
  <si>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</si>
  <si>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</si>
  <si>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</si>
  <si>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</si>
  <si>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</si>
  <si>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</si>
  <si>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</si>
  <si>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</si>
  <si>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</si>
  <si>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</si>
  <si>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</si>
  <si>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</si>
  <si>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</si>
  <si>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</si>
  <si>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</si>
  <si>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</si>
  <si>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</si>
  <si>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</si>
  <si>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</si>
  <si>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</si>
  <si>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</si>
  <si>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</si>
  <si>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</si>
  <si>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</si>
  <si>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</si>
  <si>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</si>
  <si>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</si>
  <si>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</si>
  <si>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</si>
  <si>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</si>
  <si>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</si>
  <si>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</si>
  <si>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</si>
  <si>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</si>
  <si>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</si>
  <si>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</si>
  <si>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</si>
  <si>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</si>
  <si>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</si>
  <si>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</si>
  <si>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</si>
  <si>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</si>
  <si>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</si>
  <si>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</si>
  <si>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</si>
  <si>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</si>
  <si>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</si>
  <si>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</si>
  <si>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</si>
  <si>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</si>
  <si>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</si>
  <si>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</si>
  <si>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</si>
  <si>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</si>
  <si>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</si>
  <si>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</si>
  <si>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</si>
  <si>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</si>
  <si>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</si>
  <si>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</si>
  <si>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</si>
  <si>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</si>
  <si>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</si>
  <si>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</si>
  <si>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</si>
  <si>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</si>
  <si>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</si>
  <si>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</si>
  <si>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</si>
  <si>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</si>
  <si>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</si>
  <si>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</si>
  <si>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</si>
  <si>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</si>
  <si>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</si>
  <si>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</si>
  <si>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</si>
  <si>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</si>
  <si>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</si>
  <si>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</si>
  <si>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</si>
  <si>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</si>
  <si>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</si>
  <si>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</si>
  <si>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</si>
  <si>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</si>
  <si>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</si>
  <si>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</si>
  <si>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</si>
  <si>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</si>
  <si>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</si>
  <si>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</si>
  <si>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</si>
  <si>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</si>
  <si>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</si>
  <si>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</si>
  <si>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</si>
  <si>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</si>
  <si>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</si>
  <si>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</si>
  <si>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</si>
  <si>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</si>
  <si>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</si>
  <si>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</si>
  <si>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</si>
  <si>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</si>
  <si>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</si>
  <si>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</si>
  <si>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</si>
  <si>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</si>
  <si>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</si>
  <si>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</si>
  <si>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</si>
  <si>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</si>
  <si>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</si>
  <si>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</si>
  <si>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</si>
  <si>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</si>
  <si>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</si>
  <si>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</si>
  <si>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</si>
  <si>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</si>
  <si>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</si>
  <si>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</si>
  <si>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</si>
  <si>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</si>
  <si>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</si>
  <si>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</si>
  <si>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</si>
  <si>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</si>
  <si>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</si>
  <si>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</si>
  <si>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</si>
  <si>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</si>
  <si>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</si>
  <si>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</si>
  <si>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</si>
  <si>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</si>
  <si>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</si>
  <si>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</si>
  <si>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</si>
  <si>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</si>
  <si>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</si>
  <si>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</si>
  <si>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</si>
  <si>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</si>
  <si>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</si>
  <si>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</si>
  <si>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</si>
  <si>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</si>
  <si>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</si>
  <si>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</si>
  <si>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</si>
  <si>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</si>
  <si>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</si>
  <si>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</si>
  <si>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</si>
  <si>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</si>
  <si>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</si>
  <si>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</si>
  <si>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</si>
  <si>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</si>
  <si>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</si>
  <si>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</si>
  <si>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</si>
  <si>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</si>
  <si>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</si>
  <si>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</si>
  <si>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</si>
  <si>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</si>
  <si>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</si>
  <si>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</si>
  <si>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</si>
  <si>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</si>
  <si>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</si>
  <si>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</si>
  <si>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</si>
  <si>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</si>
  <si>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</si>
  <si>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</si>
  <si>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</si>
  <si>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</si>
  <si>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</si>
  <si>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</si>
  <si>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</si>
  <si>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</si>
  <si>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</si>
  <si>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</si>
  <si>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</si>
  <si>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</si>
  <si>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</si>
  <si>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</si>
  <si>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</si>
  <si>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</si>
  <si>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</si>
  <si>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</si>
  <si>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</si>
  <si>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</si>
  <si>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</si>
  <si>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</si>
  <si>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</si>
  <si>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</si>
  <si>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</si>
  <si>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</si>
  <si>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</si>
  <si>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</si>
  <si>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</si>
  <si>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</si>
  <si>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</si>
  <si>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</si>
  <si>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</si>
  <si>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</si>
  <si>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</si>
  <si>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</si>
  <si>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</si>
  <si>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</si>
  <si>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</si>
  <si>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</si>
  <si>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</si>
  <si>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</si>
  <si>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</si>
  <si>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</si>
  <si>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</si>
  <si>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</si>
  <si>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</si>
  <si>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</si>
  <si>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</si>
  <si>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</si>
  <si>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</si>
  <si>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</si>
  <si>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</si>
  <si>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</si>
  <si>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</si>
  <si>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</si>
  <si>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</si>
  <si>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</si>
  <si>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</si>
  <si>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</si>
  <si>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</si>
  <si>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</si>
  <si>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</si>
  <si>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</si>
  <si>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</si>
  <si>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</si>
  <si>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</si>
  <si>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</si>
  <si>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</si>
  <si>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</si>
  <si>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</si>
  <si>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</si>
  <si>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</si>
  <si>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</si>
  <si>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</si>
  <si>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</si>
  <si>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</si>
  <si>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</si>
  <si>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</si>
  <si>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</si>
  <si>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</si>
  <si>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</si>
  <si>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</si>
  <si>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</si>
  <si>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</si>
  <si>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</si>
  <si>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</si>
  <si>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</si>
  <si>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</si>
  <si>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</si>
  <si>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</si>
  <si>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</si>
  <si>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</si>
  <si>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</si>
  <si>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</si>
  <si>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</si>
  <si>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</si>
  <si>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</si>
  <si>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</si>
  <si>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</si>
  <si>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</si>
  <si>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</si>
  <si>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</si>
  <si>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</si>
  <si>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</si>
  <si>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</si>
  <si>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</si>
  <si>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</si>
  <si>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</si>
  <si>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</si>
  <si>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</si>
  <si>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</si>
  <si>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</si>
  <si>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</si>
  <si>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</si>
  <si>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</si>
  <si>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</si>
  <si>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</si>
  <si>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</si>
  <si>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</si>
  <si>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</si>
  <si>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</si>
  <si>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</si>
  <si>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</si>
  <si>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</si>
  <si>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</si>
  <si>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</si>
  <si>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</si>
  <si>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</si>
  <si>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</si>
  <si>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</si>
  <si>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</si>
  <si>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</si>
  <si>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</si>
  <si>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</si>
  <si>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</si>
  <si>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</si>
  <si>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</si>
  <si>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</si>
  <si>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</si>
  <si>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</si>
  <si>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</si>
  <si>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</si>
  <si>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</si>
  <si>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</si>
  <si>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</si>
  <si>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</si>
  <si>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</si>
  <si>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</si>
  <si>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</si>
  <si>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</si>
  <si>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</si>
  <si>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</si>
  <si>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</si>
  <si>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</si>
  <si>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</si>
  <si>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</si>
  <si>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</si>
  <si>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</si>
  <si>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</si>
  <si>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</si>
  <si>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</si>
  <si>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</si>
  <si>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</si>
  <si>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</si>
  <si>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</si>
  <si>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</si>
  <si>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</si>
  <si>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</si>
  <si>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</si>
  <si>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</si>
  <si>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</si>
  <si>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</si>
  <si>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</si>
  <si>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</si>
  <si>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</si>
  <si>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</si>
  <si>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</si>
  <si>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</si>
  <si>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</si>
  <si>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</si>
  <si>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</si>
  <si>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</si>
  <si>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</si>
  <si>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</si>
  <si>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</si>
  <si>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</si>
  <si>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</si>
  <si>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</si>
  <si>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</si>
  <si>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</si>
  <si>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</si>
  <si>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</si>
  <si>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</si>
  <si>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</si>
  <si>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</si>
  <si>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</si>
  <si>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</si>
  <si>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</si>
  <si>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</si>
  <si>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</si>
  <si>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</si>
  <si>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</si>
  <si>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</si>
  <si>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</si>
  <si>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</si>
  <si>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</si>
  <si>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</si>
  <si>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</si>
  <si>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</si>
  <si>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</si>
  <si>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</si>
  <si>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</si>
  <si>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</si>
  <si>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</si>
  <si>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</si>
  <si>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</si>
  <si>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</si>
  <si>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</si>
  <si>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</si>
  <si>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</si>
  <si>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</si>
  <si>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</si>
  <si>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</si>
  <si>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</si>
  <si>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</si>
  <si>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</si>
  <si>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</si>
  <si>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</si>
  <si>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</si>
  <si>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</si>
  <si>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</si>
  <si>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</si>
  <si>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</si>
  <si>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</si>
  <si>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</si>
  <si>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</si>
  <si>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</si>
  <si>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</si>
  <si>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</si>
  <si>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</si>
  <si>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</si>
  <si>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</si>
  <si>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</si>
  <si>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</si>
  <si>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</si>
  <si>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</si>
  <si>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</si>
  <si>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</si>
  <si>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</si>
  <si>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</si>
  <si>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</si>
  <si>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</si>
  <si>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</si>
  <si>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</si>
  <si>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</si>
  <si>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</si>
  <si>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</si>
  <si>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</si>
  <si>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</si>
  <si>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</si>
  <si>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</si>
  <si>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</si>
  <si>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</si>
  <si>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</si>
  <si>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</si>
  <si>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</si>
  <si>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</si>
  <si>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</si>
  <si>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</si>
  <si>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</si>
  <si>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</si>
  <si>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</si>
  <si>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</si>
  <si>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</si>
  <si>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</si>
  <si>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</si>
  <si>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</si>
  <si>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</si>
  <si>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</si>
  <si>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</si>
  <si>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</si>
  <si>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</si>
  <si>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</si>
  <si>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</si>
  <si>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</si>
  <si>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</si>
  <si>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</si>
  <si>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</si>
  <si>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</si>
  <si>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</si>
  <si>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</si>
  <si>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</si>
  <si>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</si>
  <si>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</si>
  <si>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</si>
  <si>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</si>
  <si>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</si>
  <si>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</si>
  <si>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</si>
  <si>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</si>
  <si>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</si>
  <si>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</si>
  <si>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</si>
  <si>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</si>
  <si>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</si>
  <si>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</si>
  <si>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</si>
  <si>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</si>
  <si>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</si>
  <si>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</si>
  <si>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</si>
  <si>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</si>
  <si>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</si>
  <si>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</si>
  <si>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</si>
  <si>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</si>
  <si>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</si>
  <si>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</si>
  <si>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</si>
  <si>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</si>
  <si>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</si>
  <si>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</si>
  <si>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</si>
  <si>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</si>
  <si>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</si>
  <si>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</si>
  <si>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</si>
  <si>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</si>
  <si>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</si>
  <si>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</si>
  <si>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</si>
  <si>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</si>
  <si>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</si>
  <si>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</si>
  <si>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</si>
  <si>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</si>
  <si>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</si>
  <si>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</si>
  <si>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</si>
  <si>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</si>
  <si>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</si>
  <si>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</si>
  <si>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</si>
  <si>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</si>
  <si>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</si>
  <si>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</si>
  <si>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</si>
  <si>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</si>
  <si>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</si>
  <si>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</si>
  <si>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</si>
  <si>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</si>
  <si>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</si>
  <si>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</si>
  <si>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</si>
  <si>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</si>
  <si>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</si>
  <si>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</si>
  <si>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</si>
  <si>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</si>
  <si>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</si>
  <si>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</si>
  <si>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</si>
  <si>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</si>
  <si>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</si>
  <si>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</si>
  <si>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</si>
  <si>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</si>
  <si>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</si>
  <si>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</si>
  <si>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</si>
  <si>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</si>
  <si>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</si>
  <si>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</si>
  <si>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</si>
  <si>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</si>
  <si>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</si>
  <si>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</si>
  <si>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</si>
  <si>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</si>
  <si>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</si>
  <si>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</si>
  <si>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</si>
  <si>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</si>
  <si>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</si>
  <si>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</si>
  <si>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</si>
  <si>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</si>
  <si>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</si>
  <si>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</si>
  <si>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</si>
  <si>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</si>
  <si>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</si>
  <si>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</si>
  <si>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</si>
  <si>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</si>
  <si>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</si>
  <si>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</si>
  <si>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</si>
  <si>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</si>
  <si>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</si>
  <si>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</si>
  <si>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</si>
  <si>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</si>
  <si>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</si>
  <si>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</si>
  <si>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</si>
  <si>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</si>
  <si>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</si>
  <si>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</si>
  <si>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</si>
  <si>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</si>
  <si>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</si>
  <si>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</si>
  <si>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</si>
  <si>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</si>
  <si>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</si>
  <si>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</si>
  <si>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</si>
  <si>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</si>
  <si>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</si>
  <si>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</si>
  <si>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</si>
  <si>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</si>
  <si>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</si>
  <si>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</si>
  <si>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</si>
  <si>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</si>
  <si>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</si>
  <si>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</si>
  <si>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</si>
  <si>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</si>
  <si>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</si>
  <si>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</si>
  <si>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</si>
  <si>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</si>
  <si>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</si>
  <si>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</si>
  <si>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</si>
  <si>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</si>
  <si>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</si>
  <si>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</si>
  <si>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</si>
  <si>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</si>
  <si>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</si>
  <si>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</si>
  <si>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</si>
  <si>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</si>
  <si>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</si>
  <si>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</si>
  <si>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</si>
  <si>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</si>
  <si>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</si>
  <si>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</si>
  <si>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</si>
  <si>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</si>
  <si>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</si>
  <si>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</si>
  <si>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</si>
  <si>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</si>
  <si>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</si>
  <si>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</si>
  <si>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</si>
  <si>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</si>
  <si>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</si>
  <si>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</si>
  <si>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</si>
  <si>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</si>
  <si>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</si>
  <si>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</si>
  <si>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</si>
  <si>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</si>
  <si>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</si>
  <si>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</si>
  <si>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</si>
  <si>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</si>
  <si>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</si>
  <si>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</si>
  <si>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</si>
  <si>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</si>
  <si>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</si>
  <si>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</si>
  <si>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</si>
  <si>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</si>
  <si>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</si>
  <si>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</si>
  <si>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</si>
  <si>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</si>
  <si>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</si>
  <si>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</si>
  <si>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</si>
  <si>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</si>
  <si>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</si>
  <si>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</si>
  <si>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</si>
  <si>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</si>
  <si>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</si>
  <si>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</si>
  <si>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</si>
  <si>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</si>
  <si>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</si>
  <si>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</si>
  <si>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</si>
  <si>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</si>
  <si>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</si>
  <si>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</si>
  <si>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</si>
  <si>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</si>
  <si>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</si>
  <si>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</si>
  <si>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</si>
  <si>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</si>
  <si>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</si>
  <si>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</si>
  <si>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</si>
  <si>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</si>
  <si>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</si>
  <si>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</si>
  <si>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</si>
  <si>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</si>
  <si>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</si>
  <si>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</si>
  <si>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</si>
  <si>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</si>
  <si>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</si>
  <si>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</si>
  <si>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</si>
  <si>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</si>
  <si>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</si>
  <si>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</si>
  <si>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</si>
  <si>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</si>
  <si>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</si>
  <si>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</si>
  <si>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</si>
  <si>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</si>
  <si>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</si>
  <si>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</si>
  <si>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</si>
  <si>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</si>
  <si>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</si>
  <si>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</si>
  <si>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</si>
  <si>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</si>
  <si>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</si>
  <si>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</si>
  <si>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</si>
  <si>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</si>
  <si>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</si>
  <si>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</si>
  <si>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</si>
  <si>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</si>
  <si>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</si>
  <si>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</si>
  <si>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</si>
  <si>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</si>
  <si>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</si>
  <si>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</si>
  <si>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</si>
  <si>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</si>
  <si>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</si>
  <si>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</si>
  <si>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</si>
  <si>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</si>
  <si>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</si>
  <si>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</si>
  <si>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</si>
  <si>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</si>
  <si>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</si>
  <si>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</si>
  <si>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</si>
  <si>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</si>
  <si>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</si>
  <si>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</si>
  <si>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</si>
  <si>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</si>
  <si>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</si>
  <si>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</si>
  <si>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</si>
  <si>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</si>
  <si>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</si>
  <si>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</si>
  <si>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</si>
  <si>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</si>
  <si>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</si>
  <si>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</si>
  <si>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</si>
  <si>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</si>
  <si>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</si>
  <si>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</si>
  <si>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</si>
  <si>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</si>
  <si>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</si>
  <si>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</si>
  <si>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</si>
  <si>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</si>
  <si>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</si>
  <si>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</si>
  <si>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</si>
  <si>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</si>
  <si>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</si>
  <si>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</si>
  <si>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</si>
  <si>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</si>
  <si>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</si>
  <si>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</si>
  <si>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</si>
  <si>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</si>
  <si>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</si>
  <si>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</si>
  <si>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</si>
  <si>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</si>
  <si>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</si>
  <si>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</si>
  <si>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</si>
  <si>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</si>
  <si>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</si>
  <si>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</si>
  <si>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</si>
  <si>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</si>
  <si>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</si>
  <si>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</si>
  <si>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</si>
  <si>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</si>
  <si>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</si>
  <si>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</si>
  <si>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</si>
  <si>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</si>
  <si>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</si>
  <si>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</si>
  <si>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</si>
  <si>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</si>
  <si>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</si>
  <si>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</si>
  <si>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</si>
  <si>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</si>
  <si>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</si>
  <si>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</si>
  <si>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</si>
  <si>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</si>
  <si>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</si>
  <si>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</si>
  <si>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</si>
  <si>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</si>
  <si>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</si>
  <si>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</si>
  <si>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</si>
  <si>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</si>
  <si>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</si>
  <si>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</si>
  <si>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</si>
  <si>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</si>
  <si>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</si>
  <si>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</si>
  <si>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</si>
  <si>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</si>
  <si>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</si>
  <si>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</si>
  <si>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</si>
  <si>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</si>
  <si>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</si>
  <si>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</si>
  <si>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</si>
  <si>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</si>
  <si>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</si>
  <si>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</si>
  <si>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</si>
  <si>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</si>
  <si>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</si>
  <si>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</si>
  <si>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</si>
  <si>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</si>
  <si>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</si>
  <si>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</si>
  <si>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</si>
  <si>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</si>
  <si>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</si>
  <si>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</si>
  <si>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</si>
  <si>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</si>
  <si>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</si>
  <si>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</si>
  <si>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</si>
  <si>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</si>
  <si>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</si>
  <si>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</si>
  <si>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</si>
  <si>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</si>
  <si>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</si>
  <si>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</si>
  <si>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</si>
  <si>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</si>
  <si>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</si>
  <si>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</si>
  <si>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</si>
  <si>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</si>
  <si>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</si>
  <si>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</si>
  <si>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</si>
  <si>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</si>
  <si>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</si>
  <si>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</si>
  <si>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</si>
  <si>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</si>
  <si>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</si>
  <si>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</si>
  <si>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</si>
  <si>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</si>
  <si>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</si>
  <si>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</si>
  <si>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</si>
  <si>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</si>
  <si>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</si>
  <si>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</si>
  <si>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</si>
  <si>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</si>
  <si>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</si>
  <si>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</si>
  <si>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</si>
  <si>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</si>
  <si>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</si>
  <si>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</si>
  <si>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</si>
  <si>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</si>
  <si>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</si>
  <si>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</si>
  <si>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</si>
  <si>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</si>
  <si>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</si>
  <si>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</si>
  <si>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</si>
  <si>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</si>
  <si>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</si>
  <si>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</si>
  <si>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</si>
  <si>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</si>
  <si>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</si>
  <si>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</si>
  <si>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</si>
  <si>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</si>
  <si>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</si>
  <si>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</si>
  <si>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</si>
  <si>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</si>
  <si>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</si>
  <si>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</si>
  <si>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</si>
  <si>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</si>
  <si>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</si>
  <si>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</si>
  <si>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</si>
  <si>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</si>
  <si>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</si>
  <si>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</si>
  <si>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</si>
  <si>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</si>
  <si>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</si>
  <si>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</si>
  <si>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</si>
  <si>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</si>
  <si>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</si>
  <si>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</si>
  <si>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</si>
  <si>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</si>
  <si>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</si>
  <si>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</si>
  <si>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</si>
  <si>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</si>
  <si>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</si>
  <si>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</si>
  <si>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</si>
  <si>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</si>
  <si>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</si>
  <si>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</si>
  <si>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</si>
  <si>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</si>
  <si>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</si>
  <si>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</si>
  <si>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</si>
  <si>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</si>
  <si>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</si>
  <si>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</si>
  <si>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</si>
  <si>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</si>
  <si>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</si>
  <si>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</si>
  <si>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</si>
  <si>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</si>
  <si>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</si>
  <si>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</si>
  <si>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</si>
  <si>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</si>
  <si>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</si>
  <si>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</si>
  <si>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</si>
  <si>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</si>
  <si>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</si>
  <si>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</si>
  <si>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</si>
  <si>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</si>
  <si>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</si>
  <si>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</si>
  <si>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</si>
  <si>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</si>
  <si>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</si>
  <si>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</si>
  <si>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</si>
  <si>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</si>
  <si>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</si>
  <si>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</si>
  <si>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</si>
  <si>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</si>
  <si>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</si>
  <si>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</si>
  <si>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</si>
  <si>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</si>
  <si>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</si>
  <si>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</si>
  <si>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</si>
  <si>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</si>
  <si>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</si>
  <si>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</si>
  <si>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</si>
  <si>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</si>
  <si>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</si>
  <si>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</si>
  <si>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</si>
  <si>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</si>
  <si>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</si>
  <si>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</si>
  <si>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</si>
  <si>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</si>
  <si>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</si>
  <si>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</si>
  <si>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</si>
  <si>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</si>
  <si>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</si>
  <si>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</si>
  <si>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</si>
  <si>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</si>
  <si>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</si>
  <si>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</si>
  <si>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</si>
  <si>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</si>
  <si>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</si>
  <si>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</si>
  <si>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</si>
  <si>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</si>
  <si>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</si>
  <si>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</si>
  <si>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</si>
  <si>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</si>
  <si>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</si>
  <si>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</si>
  <si>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</si>
  <si>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</si>
  <si>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</si>
  <si>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</si>
  <si>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</si>
  <si>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</si>
  <si>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</si>
  <si>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</si>
  <si>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</si>
  <si>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</si>
  <si>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</si>
  <si>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</si>
  <si>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</si>
  <si>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</si>
  <si>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</si>
  <si>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</si>
  <si>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</si>
  <si>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</si>
  <si>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</si>
  <si>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</si>
  <si>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</si>
  <si>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</si>
  <si>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</si>
  <si>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</si>
  <si>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</si>
  <si>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</si>
  <si>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</si>
  <si>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</si>
  <si>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</si>
  <si>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</si>
  <si>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</si>
  <si>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</si>
  <si>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</si>
  <si>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</si>
  <si>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</si>
  <si>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</si>
  <si>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</si>
  <si>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</si>
  <si>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</si>
  <si>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</si>
  <si>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</si>
  <si>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</si>
  <si>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</si>
  <si>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</si>
  <si>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</si>
  <si>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</si>
  <si>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</si>
  <si>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</si>
  <si>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</si>
  <si>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</si>
  <si>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</si>
  <si>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</si>
  <si>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</si>
  <si>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</si>
  <si>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</si>
  <si>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</si>
  <si>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</si>
  <si>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</si>
  <si>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</si>
  <si>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</si>
  <si>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</si>
  <si>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</si>
  <si>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</si>
  <si>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</si>
  <si>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</si>
  <si>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</si>
  <si>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</si>
  <si>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</si>
  <si>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</si>
  <si>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</si>
  <si>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</si>
  <si>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</si>
  <si>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</si>
  <si>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</si>
  <si>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</si>
  <si>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</si>
  <si>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</si>
  <si>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</si>
  <si>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</si>
  <si>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</si>
  <si>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</si>
  <si>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</si>
  <si>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</si>
  <si>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</si>
  <si>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</si>
  <si>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</si>
  <si>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</si>
  <si>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</si>
  <si>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</si>
  <si>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</si>
  <si>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</si>
  <si>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</si>
  <si>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</si>
  <si>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</si>
  <si>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</si>
  <si>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</si>
  <si>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</si>
  <si>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</si>
  <si>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</si>
  <si>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</si>
  <si>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</si>
  <si>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</si>
  <si>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</si>
  <si>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</si>
  <si>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</si>
  <si>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</si>
  <si>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</si>
  <si>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</si>
  <si>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</si>
  <si>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</si>
  <si>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</si>
  <si>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</si>
  <si>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</si>
  <si>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</si>
  <si>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</si>
  <si>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</si>
  <si>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</si>
  <si>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</si>
  <si>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</si>
  <si>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</si>
  <si>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</si>
  <si>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</si>
  <si>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</si>
  <si>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</si>
  <si>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</si>
  <si>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</si>
  <si>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</si>
  <si>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</si>
  <si>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</si>
  <si>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</si>
  <si>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</si>
  <si>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</si>
  <si>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</si>
  <si>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</si>
  <si>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</si>
  <si>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</si>
  <si>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</si>
  <si>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</si>
  <si>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</si>
  <si>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</si>
  <si>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</si>
  <si>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</si>
  <si>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</si>
  <si>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</si>
  <si>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</si>
  <si>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</si>
  <si>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</si>
  <si>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</si>
  <si>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</si>
  <si>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</si>
  <si>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</si>
  <si>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</si>
  <si>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</si>
  <si>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</si>
  <si>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</si>
  <si>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</si>
  <si>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</si>
  <si>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</si>
  <si>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</si>
  <si>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</si>
  <si>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</si>
  <si>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</si>
  <si>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</si>
  <si>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</si>
  <si>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</si>
  <si>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</si>
  <si>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</si>
  <si>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</si>
  <si>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</si>
  <si>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</si>
  <si>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</si>
  <si>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</si>
  <si>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</si>
  <si>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</si>
  <si>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</si>
  <si>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</si>
  <si>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</si>
  <si>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</si>
  <si>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</si>
  <si>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</si>
  <si>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</si>
  <si>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</si>
  <si>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</si>
  <si>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</si>
  <si>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</si>
  <si>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</si>
  <si>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</si>
  <si>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</si>
  <si>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</si>
  <si>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</si>
  <si>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</si>
  <si>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</si>
  <si>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</si>
  <si>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</si>
  <si>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</si>
  <si>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</si>
  <si>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</si>
  <si>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</si>
  <si>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</si>
  <si>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</si>
  <si>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</si>
  <si>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</si>
  <si>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</si>
  <si>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</si>
  <si>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</si>
  <si>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</si>
  <si>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</si>
  <si>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</si>
  <si>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</si>
  <si>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</si>
  <si>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</si>
  <si>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</si>
  <si>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</si>
  <si>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</si>
  <si>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</si>
  <si>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</si>
  <si>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</si>
  <si>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</si>
  <si>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</si>
  <si>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</si>
  <si>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</si>
  <si>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</si>
  <si>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</si>
  <si>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</si>
  <si>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</si>
  <si>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</si>
  <si>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</si>
  <si>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</si>
  <si>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</si>
  <si>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</si>
  <si>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</si>
  <si>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</si>
  <si>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</si>
  <si>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</si>
  <si>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</si>
  <si>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</si>
  <si>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</si>
  <si>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</si>
  <si>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</si>
  <si>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</si>
  <si>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</si>
  <si>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</si>
  <si>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</si>
  <si>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</si>
  <si>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</si>
  <si>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</si>
  <si>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</si>
  <si>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</si>
  <si>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</si>
  <si>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</si>
  <si>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</si>
  <si>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</si>
  <si>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</si>
  <si>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</si>
  <si>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</si>
  <si>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</si>
  <si>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</si>
  <si>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</si>
  <si>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</si>
  <si>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</si>
  <si>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</si>
  <si>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</si>
  <si>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</si>
  <si>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</si>
  <si>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</si>
  <si>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</si>
  <si>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</si>
  <si>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</si>
  <si>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</si>
  <si>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</si>
  <si>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</si>
  <si>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</si>
  <si>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</si>
  <si>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</si>
  <si>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</si>
  <si>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</si>
  <si>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</si>
  <si>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</si>
  <si>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</si>
  <si>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</si>
  <si>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</si>
  <si>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</si>
  <si>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</si>
  <si>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</si>
  <si>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</si>
  <si>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</si>
  <si>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</si>
  <si>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</si>
  <si>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</si>
  <si>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</si>
  <si>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</si>
  <si>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</si>
  <si>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</si>
  <si>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</si>
  <si>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</si>
  <si>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</si>
  <si>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</si>
  <si>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</si>
  <si>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</si>
  <si>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</si>
  <si>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</si>
  <si>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</si>
  <si>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</si>
  <si>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</si>
  <si>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</si>
  <si>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</si>
  <si>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</si>
  <si>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</si>
  <si>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</si>
  <si>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</si>
  <si>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</si>
  <si>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</si>
  <si>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</si>
  <si>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</si>
  <si>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</si>
  <si>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</si>
  <si>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</si>
  <si>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</si>
  <si>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</si>
  <si>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</si>
  <si>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</si>
  <si>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</si>
  <si>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</si>
  <si>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</si>
  <si>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</si>
  <si>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</si>
  <si>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</si>
  <si>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</si>
  <si>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</si>
  <si>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</si>
  <si>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</si>
  <si>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</si>
  <si>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</si>
  <si>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</si>
  <si>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</si>
  <si>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</si>
  <si>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</si>
  <si>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</si>
  <si>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</si>
  <si>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</si>
  <si>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</si>
  <si>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</si>
  <si>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</si>
  <si>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</si>
  <si>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</si>
  <si>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</si>
  <si>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</si>
  <si>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</si>
  <si>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</si>
  <si>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</si>
  <si>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</si>
  <si>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</si>
  <si>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</si>
  <si>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</si>
  <si>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</si>
  <si>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</si>
  <si>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</si>
  <si>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</si>
  <si>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</si>
  <si>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</si>
  <si>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</si>
  <si>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</si>
  <si>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</si>
  <si>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</si>
  <si>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</si>
  <si>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</si>
  <si>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</si>
  <si>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</si>
  <si>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</si>
  <si>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</si>
  <si>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</si>
  <si>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</si>
  <si>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</si>
  <si>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</si>
  <si>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</si>
  <si>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</si>
  <si>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</si>
  <si>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</si>
  <si>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</si>
  <si>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</si>
  <si>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</si>
  <si>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</si>
  <si>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</si>
  <si>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</si>
  <si>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</si>
  <si>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</si>
  <si>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</si>
  <si>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</si>
  <si>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</si>
  <si>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</si>
  <si>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</si>
  <si>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</si>
  <si>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</si>
  <si>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</si>
  <si>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</si>
  <si>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</si>
  <si>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</si>
  <si>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</si>
  <si>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</si>
  <si>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</si>
  <si>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</si>
  <si>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</si>
  <si>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</si>
  <si>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</si>
  <si>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</si>
  <si>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</si>
  <si>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</si>
  <si>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</si>
  <si>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</si>
  <si>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</si>
  <si>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</si>
  <si>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</si>
  <si>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</si>
  <si>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</si>
  <si>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</si>
  <si>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</si>
  <si>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</si>
  <si>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</si>
  <si>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</si>
  <si>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</si>
  <si>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</si>
  <si>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</si>
  <si>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</si>
  <si>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</si>
  <si>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</si>
  <si>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</si>
  <si>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</si>
  <si>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</si>
  <si>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</si>
  <si>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</si>
  <si>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</si>
  <si>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</si>
  <si>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</si>
  <si>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</si>
  <si>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</si>
  <si>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</si>
  <si>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</si>
  <si>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</si>
  <si>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</si>
  <si>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</si>
  <si>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</si>
  <si>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</si>
  <si>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</si>
  <si>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</si>
  <si>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</si>
  <si>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</si>
  <si>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</si>
  <si>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</si>
  <si>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</si>
  <si>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</si>
  <si>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</si>
  <si>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</si>
  <si>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</si>
  <si>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</si>
  <si>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</si>
  <si>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</si>
  <si>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</si>
  <si>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</si>
  <si>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</si>
  <si>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</si>
  <si>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</si>
  <si>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</si>
  <si>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</si>
  <si>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</si>
  <si>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</si>
  <si>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</si>
  <si>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</si>
  <si>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</si>
  <si>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</si>
  <si>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</si>
  <si>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</si>
  <si>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</si>
  <si>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</si>
  <si>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</si>
  <si>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</si>
  <si>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</si>
  <si>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</si>
  <si>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</si>
  <si>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</si>
  <si>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</si>
  <si>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</si>
  <si>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</si>
  <si>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</si>
  <si>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</si>
  <si>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</si>
  <si>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</si>
  <si>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</si>
  <si>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</si>
  <si>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</si>
  <si>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</si>
  <si>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</si>
  <si>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</si>
  <si>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</si>
  <si>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</si>
  <si>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</si>
  <si>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</si>
  <si>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</si>
  <si>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</si>
  <si>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</si>
  <si>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</si>
  <si>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</si>
  <si>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</si>
  <si>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</si>
  <si>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</si>
  <si>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</si>
  <si>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</si>
  <si>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</si>
  <si>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</si>
  <si>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</si>
  <si>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</si>
  <si>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</si>
  <si>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</si>
  <si>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</si>
  <si>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</si>
  <si>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</si>
  <si>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</si>
  <si>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</si>
  <si>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</si>
  <si>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</si>
  <si>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</si>
  <si>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</si>
  <si>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</si>
  <si>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</si>
  <si>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</si>
  <si>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</si>
  <si>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</si>
  <si>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</si>
  <si>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</si>
  <si>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</si>
  <si>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</si>
  <si>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</si>
  <si>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</si>
  <si>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</si>
  <si>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</si>
  <si>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</si>
  <si>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</si>
  <si>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</si>
  <si>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</si>
  <si>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</si>
  <si>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</si>
  <si>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</si>
  <si>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</si>
  <si>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</si>
  <si>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</si>
  <si>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</si>
  <si>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</si>
  <si>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</si>
  <si>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</si>
  <si>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</si>
  <si>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</si>
  <si>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</si>
  <si>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</si>
  <si>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</si>
  <si>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</si>
  <si>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</si>
  <si>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</si>
  <si>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</si>
  <si>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</si>
  <si>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</si>
  <si>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</si>
  <si>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</si>
  <si>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</si>
  <si>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</si>
  <si>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</si>
  <si>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</si>
  <si>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</si>
  <si>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</si>
  <si>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</si>
  <si>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</si>
  <si>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</si>
  <si>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</si>
  <si>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</si>
  <si>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</si>
  <si>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</si>
  <si>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</si>
  <si>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</si>
  <si>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</si>
  <si>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</si>
  <si>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</si>
  <si>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</si>
  <si>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</si>
  <si>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</si>
  <si>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</si>
  <si>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</si>
  <si>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</si>
  <si>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</si>
  <si>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</si>
  <si>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</si>
  <si>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</si>
  <si>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</si>
  <si>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</si>
  <si>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</si>
  <si>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</si>
  <si>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</si>
  <si>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</si>
  <si>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</si>
  <si>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</si>
  <si>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</si>
  <si>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</si>
  <si>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</si>
  <si>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</si>
  <si>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</si>
  <si>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</si>
  <si>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</si>
  <si>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</si>
  <si>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</si>
  <si>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</si>
  <si>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</si>
  <si>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</si>
  <si>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</si>
  <si>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</si>
  <si>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</si>
  <si>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</si>
  <si>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</si>
  <si>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</si>
  <si>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</si>
  <si>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</si>
  <si>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</si>
  <si>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</si>
  <si>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</si>
  <si>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</si>
  <si>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</si>
  <si>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</si>
  <si>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</si>
  <si>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</si>
  <si>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</si>
  <si>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</si>
  <si>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</si>
  <si>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</si>
  <si>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</si>
  <si>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</si>
  <si>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</si>
  <si>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</si>
  <si>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</si>
  <si>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</si>
  <si>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</si>
  <si>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</si>
  <si>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</si>
  <si>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</si>
  <si>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</si>
  <si>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</si>
  <si>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</si>
  <si>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</si>
  <si>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</si>
  <si>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</si>
  <si>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</si>
  <si>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</si>
  <si>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</si>
  <si>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</si>
  <si>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</si>
  <si>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</si>
  <si>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</si>
  <si>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</si>
  <si>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</si>
  <si>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</si>
  <si>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</si>
  <si>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</si>
  <si>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</si>
  <si>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</si>
  <si>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</si>
  <si>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</si>
  <si>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</si>
  <si>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</si>
  <si>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</si>
  <si>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</si>
  <si>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</si>
  <si>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</si>
  <si>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</si>
  <si>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</si>
  <si>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</si>
  <si>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</si>
  <si>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</si>
  <si>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</si>
  <si>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</si>
  <si>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</si>
  <si>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</si>
  <si>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</si>
  <si>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</si>
  <si>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</si>
  <si>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</si>
  <si>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</si>
  <si>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</si>
  <si>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</si>
  <si>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</si>
  <si>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</si>
  <si>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</si>
  <si>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</si>
  <si>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</si>
  <si>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</si>
  <si>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</si>
  <si>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</si>
  <si>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</si>
  <si>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</si>
  <si>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</si>
  <si>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</si>
  <si>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</si>
  <si>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</si>
  <si>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</si>
  <si>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</si>
  <si>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</si>
  <si>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</si>
  <si>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</si>
  <si>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</si>
  <si>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</si>
  <si>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</si>
  <si>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</si>
  <si>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</si>
  <si>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</si>
  <si>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</si>
  <si>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</si>
  <si>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</si>
  <si>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</si>
  <si>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</si>
  <si>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</si>
  <si>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</si>
  <si>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</si>
  <si>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</si>
  <si>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</si>
  <si>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</si>
  <si>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</si>
  <si>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</si>
  <si>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</si>
  <si>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</si>
  <si>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</si>
  <si>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</si>
  <si>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</si>
  <si>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</si>
  <si>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</si>
  <si>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</si>
  <si>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</si>
  <si>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</si>
  <si>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</si>
  <si>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</si>
  <si>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</si>
  <si>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</si>
  <si>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</si>
  <si>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</si>
  <si>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</si>
  <si>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</si>
  <si>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</si>
  <si>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</si>
  <si>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</si>
  <si>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</si>
  <si>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</si>
  <si>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</si>
  <si>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</si>
  <si>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</si>
  <si>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</si>
  <si>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</si>
  <si>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</si>
  <si>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</si>
  <si>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</si>
  <si>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</si>
  <si>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</si>
  <si>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</si>
  <si>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</si>
  <si>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</si>
  <si>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</si>
  <si>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</si>
  <si>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</si>
  <si>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</si>
  <si>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</si>
  <si>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</si>
  <si>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</si>
  <si>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</si>
  <si>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</si>
  <si>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</si>
  <si>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</si>
  <si>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</si>
  <si>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</si>
  <si>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</si>
  <si>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</si>
  <si>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</si>
  <si>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</si>
  <si>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</si>
  <si>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</si>
  <si>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</si>
  <si>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</si>
  <si>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</si>
  <si>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</si>
  <si>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</si>
  <si>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</si>
  <si>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</si>
  <si>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</si>
  <si>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</si>
  <si>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</si>
  <si>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</si>
  <si>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</si>
  <si>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</si>
  <si>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</si>
  <si>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</si>
  <si>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</si>
  <si>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</si>
  <si>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</si>
  <si>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</si>
  <si>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</si>
  <si>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</si>
  <si>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</si>
  <si>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</si>
  <si>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</si>
  <si>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</si>
  <si>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</si>
  <si>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</si>
  <si>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</si>
  <si>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</si>
  <si>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</si>
  <si>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</si>
  <si>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</si>
  <si>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</si>
  <si>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</si>
  <si>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</si>
  <si>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</si>
  <si>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</si>
  <si>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</si>
  <si>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</si>
  <si>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</si>
  <si>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</si>
  <si>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</si>
  <si>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</si>
  <si>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</si>
  <si>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</si>
  <si>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</si>
  <si>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</si>
  <si>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</si>
  <si>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</si>
  <si>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</si>
  <si>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</si>
  <si>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</si>
  <si>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</si>
  <si>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</si>
  <si>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</si>
  <si>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</si>
  <si>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</si>
  <si>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</si>
  <si>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</si>
  <si>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</si>
  <si>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</si>
  <si>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</si>
  <si>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</si>
  <si>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</si>
  <si>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</si>
  <si>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</si>
  <si>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</si>
  <si>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</si>
  <si>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</si>
  <si>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</si>
  <si>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</si>
  <si>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</si>
  <si>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</si>
  <si>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</si>
  <si>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</si>
  <si>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</si>
  <si>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</si>
  <si>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</si>
  <si>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</si>
  <si>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</si>
  <si>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</si>
  <si>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</si>
  <si>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</si>
  <si>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</si>
  <si>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</si>
  <si>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</si>
  <si>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</si>
  <si>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</si>
  <si>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</si>
  <si>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</si>
  <si>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</si>
  <si>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</si>
  <si>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</si>
  <si>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</si>
  <si>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</si>
  <si>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</si>
  <si>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</si>
  <si>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</si>
  <si>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</si>
  <si>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</si>
  <si>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</si>
  <si>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</si>
  <si>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</si>
  <si>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</si>
  <si>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</si>
  <si>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</si>
  <si>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</si>
  <si>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</si>
  <si>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</si>
  <si>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</si>
  <si>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</si>
  <si>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</si>
  <si>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</si>
  <si>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</si>
  <si>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</si>
  <si>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</si>
  <si>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</si>
  <si>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</si>
  <si>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</si>
  <si>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</si>
  <si>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</si>
  <si>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</si>
  <si>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</si>
  <si>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</si>
  <si>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</si>
  <si>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</si>
  <si>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</si>
  <si>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</si>
  <si>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</si>
  <si>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</si>
  <si>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</si>
  <si>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</si>
  <si>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</si>
  <si>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</si>
  <si>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</si>
  <si>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</si>
  <si>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</si>
  <si>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</si>
  <si>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</si>
  <si>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</si>
  <si>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</si>
  <si>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</si>
  <si>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</si>
  <si>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</si>
  <si>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</si>
  <si>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</si>
  <si>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</si>
  <si>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</si>
  <si>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</si>
  <si>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</si>
  <si>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</si>
  <si>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</si>
  <si>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</si>
  <si>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</si>
  <si>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</si>
  <si>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</si>
  <si>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</si>
  <si>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</si>
  <si>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</si>
  <si>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</si>
  <si>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</si>
  <si>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</si>
  <si>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</si>
  <si>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</si>
  <si>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</si>
  <si>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</si>
  <si>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</si>
  <si>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</si>
  <si>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</si>
  <si>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</si>
  <si>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</si>
  <si>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</si>
  <si>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</si>
  <si>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</si>
  <si>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</si>
  <si>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</si>
  <si>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</si>
  <si>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</si>
  <si>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</si>
  <si>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</si>
  <si>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</si>
  <si>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</si>
  <si>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</si>
  <si>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</si>
  <si>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</si>
  <si>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</si>
  <si>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</si>
  <si>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</si>
  <si>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</si>
  <si>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</si>
  <si>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</si>
  <si>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</si>
  <si>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</si>
  <si>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</si>
  <si>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</si>
  <si>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</si>
  <si>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</si>
  <si>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</si>
  <si>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</si>
  <si>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</si>
  <si>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</si>
  <si>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</si>
  <si>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</si>
  <si>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</si>
  <si>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</si>
  <si>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</si>
  <si>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</si>
  <si>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</si>
  <si>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</si>
  <si>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</si>
  <si>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</si>
  <si>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</si>
  <si>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</si>
  <si>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</si>
  <si>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</si>
  <si>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</si>
  <si>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</si>
  <si>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</si>
  <si>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</si>
  <si>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</si>
  <si>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</si>
  <si>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</si>
  <si>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</si>
  <si>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</si>
  <si>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</si>
  <si>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</si>
  <si>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</si>
  <si>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</si>
  <si>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</si>
  <si>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</si>
  <si>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</si>
  <si>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</si>
  <si>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</si>
  <si>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</si>
  <si>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</si>
  <si>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</si>
  <si>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</si>
  <si>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</si>
  <si>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</si>
  <si>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</si>
  <si>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</si>
  <si>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</si>
  <si>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</si>
  <si>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</si>
  <si>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</si>
  <si>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</si>
  <si>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</si>
  <si>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</si>
  <si>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</si>
  <si>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</si>
  <si>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</si>
  <si>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</si>
  <si>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</si>
  <si>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</si>
  <si>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</si>
  <si>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</si>
  <si>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</si>
  <si>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</si>
  <si>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</si>
  <si>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</si>
  <si>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</si>
  <si>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</si>
  <si>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</si>
  <si>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</si>
  <si>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</si>
  <si>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</si>
  <si>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</si>
  <si>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</si>
  <si>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</si>
  <si>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</si>
  <si>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</si>
  <si>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</si>
  <si>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</si>
  <si>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</si>
  <si>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</si>
  <si>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</si>
  <si>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</si>
  <si>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</si>
  <si>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</si>
  <si>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</si>
  <si>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</si>
  <si>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</si>
  <si>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</si>
  <si>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</si>
  <si>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</si>
  <si>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</si>
  <si>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</si>
  <si>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</si>
  <si>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</si>
  <si>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</si>
  <si>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</si>
  <si>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</si>
  <si>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</si>
  <si>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</si>
  <si>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</si>
  <si>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</si>
  <si>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</si>
  <si>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</si>
  <si>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</si>
  <si>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</si>
  <si>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</si>
  <si>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</si>
  <si>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</si>
  <si>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</si>
  <si>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</si>
  <si>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</si>
  <si>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</si>
  <si>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</si>
  <si>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</si>
  <si>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</si>
  <si>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</si>
  <si>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</si>
  <si>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</si>
  <si>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</si>
  <si>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</si>
  <si>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</si>
  <si>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</si>
  <si>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</si>
  <si>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</si>
  <si>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</si>
  <si>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</si>
  <si>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</si>
  <si>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</si>
  <si>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</si>
  <si>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</si>
  <si>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</si>
  <si>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</si>
  <si>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</si>
  <si>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</si>
  <si>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</si>
  <si>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</si>
  <si>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</si>
  <si>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</si>
  <si>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</si>
  <si>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</si>
  <si>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</si>
  <si>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</si>
  <si>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</si>
  <si>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</si>
  <si>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</si>
  <si>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</si>
  <si>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</si>
  <si>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</si>
  <si>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</si>
  <si>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</si>
  <si>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</si>
  <si>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</si>
  <si>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</si>
  <si>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</si>
  <si>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</si>
  <si>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</si>
  <si>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</si>
  <si>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</si>
  <si>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</si>
  <si>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</si>
  <si>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</si>
  <si>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</si>
  <si>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</si>
  <si>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</si>
  <si>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</si>
  <si>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</si>
  <si>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</si>
  <si>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</si>
  <si>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</si>
  <si>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</si>
  <si>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</si>
  <si>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</si>
  <si>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</si>
  <si>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</si>
  <si>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</si>
  <si>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</si>
  <si>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</si>
  <si>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</si>
  <si>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</si>
  <si>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</si>
  <si>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</si>
  <si>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</si>
  <si>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</si>
  <si>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</si>
  <si>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</si>
  <si>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</si>
  <si>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</si>
  <si>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</si>
  <si>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</si>
  <si>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</si>
  <si>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</si>
  <si>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</si>
  <si>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</si>
  <si>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</si>
  <si>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</si>
  <si>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</si>
  <si>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</si>
  <si>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</si>
  <si>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</si>
  <si>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</si>
  <si>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</si>
  <si>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</si>
  <si>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</si>
  <si>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</si>
  <si>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</si>
  <si>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</si>
  <si>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</si>
  <si>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</si>
  <si>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</si>
  <si>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</si>
  <si>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</si>
  <si>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</si>
  <si>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</si>
  <si>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</si>
  <si>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</si>
  <si>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</si>
  <si>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</si>
  <si>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</si>
  <si>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</si>
  <si>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</si>
  <si>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</si>
  <si>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</si>
  <si>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</si>
  <si>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</si>
  <si>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</si>
  <si>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</si>
  <si>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</si>
  <si>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</si>
  <si>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</si>
  <si>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</si>
  <si>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</si>
  <si>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</si>
  <si>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</si>
  <si>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</si>
  <si>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</si>
  <si>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</si>
  <si>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</si>
  <si>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</si>
  <si>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</si>
  <si>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</si>
  <si>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</si>
  <si>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</si>
  <si>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</si>
  <si>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</si>
  <si>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</si>
  <si>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</si>
  <si>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</si>
  <si>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</si>
  <si>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</si>
  <si>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</si>
  <si>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</si>
  <si>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</si>
  <si>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</si>
  <si>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</si>
  <si>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</si>
  <si>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</si>
  <si>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</si>
  <si>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</si>
  <si>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</si>
  <si>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</si>
  <si>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</si>
  <si>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</si>
  <si>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</si>
  <si>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</si>
  <si>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</si>
  <si>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</si>
  <si>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</si>
  <si>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</si>
  <si>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</si>
  <si>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</si>
  <si>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</si>
  <si>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</si>
  <si>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</si>
  <si>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</si>
  <si>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</si>
  <si>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</si>
  <si>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</si>
  <si>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</si>
  <si>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</si>
  <si>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</si>
  <si>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</si>
  <si>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</si>
  <si>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</si>
  <si>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</si>
  <si>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</si>
  <si>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</si>
  <si>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</si>
  <si>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</si>
  <si>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</si>
  <si>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</si>
  <si>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</si>
  <si>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</si>
  <si>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</si>
  <si>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</si>
  <si>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</si>
  <si>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</si>
  <si>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</si>
  <si>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</si>
  <si>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</si>
  <si>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</si>
  <si>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</si>
  <si>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</si>
  <si>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</si>
  <si>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</si>
  <si>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</si>
  <si>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</si>
  <si>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</si>
  <si>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</si>
  <si>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</si>
  <si>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</si>
  <si>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</si>
  <si>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</si>
  <si>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</si>
  <si>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</si>
  <si>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</si>
  <si>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</si>
  <si>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</si>
  <si>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</si>
  <si>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</si>
  <si>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</si>
  <si>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</si>
  <si>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</si>
  <si>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</si>
  <si>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</si>
  <si>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</si>
  <si>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</si>
  <si>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</si>
  <si>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</si>
  <si>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</si>
  <si>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</si>
  <si>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</si>
  <si>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</si>
  <si>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</si>
  <si>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</si>
  <si>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</si>
  <si>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</si>
  <si>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</si>
  <si>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</si>
  <si>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</si>
  <si>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</si>
  <si>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</si>
  <si>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</si>
  <si>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</si>
  <si>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</si>
  <si>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</si>
  <si>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</si>
  <si>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</si>
  <si>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</si>
  <si>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</si>
  <si>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</si>
  <si>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</si>
  <si>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</si>
  <si>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</si>
  <si>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</si>
  <si>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</si>
  <si>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</si>
  <si>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</si>
  <si>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</si>
  <si>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</si>
  <si>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</si>
  <si>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</si>
  <si>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</si>
  <si>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</si>
  <si>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</si>
  <si>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</si>
  <si>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</si>
  <si>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</si>
  <si>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</si>
  <si>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</si>
  <si>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</si>
  <si>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</si>
  <si>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</si>
  <si>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</si>
  <si>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</si>
  <si>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</si>
  <si>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</si>
  <si>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</si>
  <si>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</si>
  <si>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</si>
  <si>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</si>
  <si>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</si>
  <si>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</si>
  <si>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</si>
  <si>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</si>
  <si>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</si>
  <si>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</si>
  <si>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</si>
  <si>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</si>
  <si>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</si>
  <si>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</si>
  <si>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</si>
  <si>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</si>
  <si>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</si>
  <si>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</si>
  <si>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</si>
  <si>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</si>
  <si>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</si>
  <si>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</si>
  <si>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</si>
  <si>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</si>
  <si>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</si>
  <si>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</si>
  <si>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</si>
  <si>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</si>
  <si>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</si>
  <si>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</si>
  <si>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</si>
  <si>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</si>
  <si>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</si>
  <si>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</si>
  <si>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</si>
  <si>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</si>
  <si>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</si>
  <si>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</si>
  <si>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</si>
  <si>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</si>
  <si>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</si>
  <si>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</si>
  <si>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</si>
  <si>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</si>
  <si>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</si>
  <si>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</si>
  <si>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</si>
  <si>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</si>
  <si>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</si>
  <si>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</si>
  <si>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</si>
  <si>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</si>
  <si>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</si>
  <si>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</si>
  <si>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</si>
  <si>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</si>
  <si>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</si>
  <si>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</si>
  <si>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</si>
  <si>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</si>
  <si>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</si>
  <si>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</si>
  <si>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</si>
  <si>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</si>
  <si>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</si>
  <si>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</si>
  <si>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</si>
  <si>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</si>
  <si>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</si>
  <si>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</si>
  <si>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</si>
  <si>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</si>
  <si>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</si>
  <si>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</si>
  <si>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</si>
  <si>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</si>
  <si>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</si>
  <si>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</si>
  <si>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</si>
  <si>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</si>
  <si>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</si>
  <si>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</si>
  <si>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</si>
  <si>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</si>
  <si>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</si>
  <si>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</si>
  <si>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</si>
  <si>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</si>
  <si>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</si>
  <si>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</si>
  <si>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</si>
  <si>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</si>
  <si>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</si>
  <si>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</si>
  <si>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</si>
  <si>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</si>
  <si>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</si>
  <si>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</si>
  <si>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</si>
  <si>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</si>
  <si>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</si>
  <si>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</si>
  <si>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</si>
  <si>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</si>
  <si>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</si>
  <si>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</si>
  <si>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</si>
  <si>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</si>
  <si>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</si>
  <si>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</si>
  <si>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</si>
  <si>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</si>
  <si>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</si>
  <si>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</si>
  <si>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</si>
  <si>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</si>
  <si>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</si>
  <si>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</si>
  <si>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</si>
  <si>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</si>
  <si>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</si>
  <si>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</si>
  <si>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</si>
  <si>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</si>
  <si>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</si>
  <si>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</si>
  <si>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</si>
  <si>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</si>
  <si>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</si>
  <si>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</si>
  <si>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</si>
  <si>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</si>
  <si>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</si>
  <si>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</si>
  <si>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</si>
  <si>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</si>
  <si>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</si>
  <si>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</si>
  <si>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</si>
  <si>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</si>
  <si>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</si>
  <si>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</si>
  <si>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</si>
  <si>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</si>
  <si>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</si>
  <si>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</si>
  <si>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</si>
  <si>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</si>
  <si>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</si>
  <si>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</si>
  <si>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</si>
  <si>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</si>
  <si>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</si>
  <si>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</si>
  <si>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</si>
  <si>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</si>
  <si>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</si>
  <si>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</si>
  <si>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</si>
  <si>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</si>
  <si>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</si>
  <si>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</si>
  <si>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</si>
  <si>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</si>
  <si>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</si>
  <si>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</si>
  <si>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</si>
  <si>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</si>
  <si>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</si>
  <si>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</si>
  <si>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</si>
  <si>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</si>
  <si>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</si>
  <si>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</si>
  <si>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</si>
  <si>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</si>
  <si>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</si>
  <si>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</si>
  <si>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</si>
  <si>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</si>
  <si>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</si>
  <si>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</si>
  <si>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</si>
  <si>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</si>
  <si>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</si>
  <si>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</si>
  <si>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</si>
  <si>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</si>
  <si>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</si>
  <si>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</si>
  <si>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</si>
  <si>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</si>
  <si>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</si>
  <si>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</si>
  <si>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</si>
  <si>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</si>
  <si>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</si>
  <si>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</si>
  <si>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</si>
  <si>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</si>
  <si>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</si>
  <si>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</si>
  <si>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</si>
  <si>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</si>
  <si>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</si>
  <si>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</si>
  <si>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</si>
  <si>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</si>
  <si>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</si>
  <si>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</si>
  <si>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</si>
  <si>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</si>
  <si>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</si>
  <si>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</si>
  <si>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</si>
  <si>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</si>
  <si>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</si>
  <si>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</si>
  <si>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</si>
  <si>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</si>
  <si>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</si>
  <si>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</si>
  <si>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</si>
  <si>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</si>
  <si>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</si>
  <si>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</si>
  <si>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</si>
  <si>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</si>
  <si>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</si>
  <si>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</si>
  <si>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</si>
  <si>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</si>
  <si>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</si>
  <si>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</si>
  <si>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</si>
  <si>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</si>
  <si>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</si>
  <si>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</si>
  <si>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</si>
  <si>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</si>
  <si>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</si>
  <si>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</si>
  <si>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</si>
  <si>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</si>
  <si>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</si>
  <si>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</si>
  <si>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</si>
  <si>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</si>
  <si>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</si>
  <si>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</si>
  <si>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</si>
  <si>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</si>
  <si>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</si>
  <si>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</si>
  <si>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</si>
  <si>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</si>
  <si>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</si>
  <si>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</si>
  <si>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</si>
  <si>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</si>
  <si>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</si>
  <si>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</si>
  <si>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</si>
  <si>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</si>
  <si>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</si>
  <si>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</si>
  <si>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</si>
  <si>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</si>
  <si>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</si>
  <si>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</si>
  <si>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</si>
  <si>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</si>
  <si>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</si>
  <si>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</si>
  <si>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</si>
  <si>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</si>
  <si>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</si>
  <si>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</si>
  <si>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</si>
  <si>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</si>
  <si>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</si>
  <si>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</si>
  <si>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</si>
  <si>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</si>
  <si>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</si>
  <si>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</si>
  <si>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</si>
  <si>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</si>
  <si>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</si>
  <si>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</si>
  <si>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</si>
  <si>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</si>
  <si>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</si>
  <si>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</si>
  <si>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</si>
  <si>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</si>
  <si>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</si>
  <si>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</si>
  <si>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</si>
  <si>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</si>
  <si>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</si>
  <si>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</si>
  <si>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</si>
  <si>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</si>
  <si>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</si>
  <si>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</si>
  <si>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</si>
  <si>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</si>
  <si>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</si>
  <si>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</si>
  <si>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</si>
  <si>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</si>
  <si>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</si>
  <si>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</si>
  <si>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</si>
  <si>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</si>
  <si>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</si>
  <si>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</si>
  <si>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</si>
  <si>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</si>
  <si>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</si>
  <si>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</si>
  <si>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</si>
  <si>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</si>
  <si>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</si>
  <si>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</si>
  <si>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</si>
  <si>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</si>
  <si>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</si>
  <si>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</si>
  <si>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</si>
  <si>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</si>
  <si>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</si>
  <si>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</si>
  <si>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</si>
  <si>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</si>
  <si>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</si>
  <si>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</si>
  <si>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</si>
  <si>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</si>
  <si>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</si>
  <si>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</si>
  <si>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</si>
  <si>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</si>
  <si>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</si>
  <si>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</si>
  <si>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</si>
  <si>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</si>
  <si>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</si>
  <si>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</si>
  <si>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</si>
  <si>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</si>
  <si>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</si>
  <si>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</si>
  <si>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</si>
  <si>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</si>
  <si>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</si>
  <si>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</si>
  <si>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</si>
  <si>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</si>
  <si>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</si>
  <si>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</si>
  <si>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</si>
  <si>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</si>
  <si>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</si>
  <si>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</si>
  <si>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</si>
  <si>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</si>
  <si>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</si>
  <si>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</si>
  <si>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</si>
  <si>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</si>
  <si>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</si>
  <si>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</si>
  <si>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</si>
  <si>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</si>
  <si>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</si>
  <si>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</si>
  <si>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</si>
  <si>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</si>
  <si>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</si>
  <si>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</si>
  <si>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</si>
  <si>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</si>
  <si>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</si>
  <si>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</si>
  <si>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</si>
  <si>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</si>
  <si>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</si>
  <si>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</si>
  <si>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</si>
  <si>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</si>
  <si>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</si>
  <si>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</si>
  <si>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</si>
  <si>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</si>
  <si>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</si>
  <si>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</si>
  <si>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</si>
  <si>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</si>
  <si>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</si>
  <si>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</si>
  <si>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</si>
  <si>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</si>
  <si>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</si>
  <si>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</si>
  <si>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</si>
  <si>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</si>
  <si>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</si>
  <si>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</si>
  <si>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</si>
  <si>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</si>
  <si>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</si>
  <si>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</si>
  <si>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</si>
  <si>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</si>
  <si>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</si>
  <si>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</si>
  <si>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</si>
  <si>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</si>
  <si>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</si>
  <si>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</si>
  <si>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</si>
  <si>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</si>
  <si>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</si>
  <si>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</si>
  <si>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</si>
  <si>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</si>
  <si>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</si>
  <si>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</si>
  <si>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</si>
  <si>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</si>
  <si>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</si>
  <si>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</si>
  <si>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</si>
  <si>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</si>
  <si>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</si>
  <si>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</si>
  <si>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</si>
  <si>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</si>
  <si>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</si>
  <si>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</si>
  <si>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</si>
  <si>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</si>
  <si>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</si>
  <si>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</si>
  <si>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</si>
  <si>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</si>
  <si>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</si>
  <si>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</si>
  <si>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</si>
  <si>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</si>
  <si>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</si>
  <si>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</si>
  <si>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</si>
  <si>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</si>
  <si>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</si>
  <si>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</si>
  <si>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</si>
  <si>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</si>
  <si>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</si>
  <si>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</si>
  <si>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</si>
  <si>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</si>
  <si>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</si>
  <si>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</si>
  <si>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</si>
  <si>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</si>
  <si>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</si>
  <si>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</si>
  <si>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</si>
  <si>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</si>
  <si>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</si>
  <si>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</si>
  <si>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</si>
  <si>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</si>
  <si>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</si>
  <si>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</si>
  <si>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</si>
  <si>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</si>
  <si>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</si>
  <si>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</si>
  <si>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</si>
  <si>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</si>
  <si>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</si>
  <si>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</si>
  <si>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</si>
  <si>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</si>
  <si>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</si>
  <si>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</si>
  <si>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</si>
  <si>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</si>
  <si>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</si>
  <si>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</si>
  <si>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</si>
  <si>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</si>
  <si>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</si>
  <si>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</si>
  <si>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</si>
  <si>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</si>
  <si>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</si>
  <si>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</si>
  <si>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</si>
  <si>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</si>
  <si>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</si>
  <si>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</si>
  <si>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</si>
  <si>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</si>
  <si>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</si>
  <si>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</si>
  <si>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</si>
  <si>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</si>
  <si>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</si>
  <si>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</si>
  <si>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</si>
  <si>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</si>
  <si>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</si>
  <si>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</si>
  <si>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</si>
  <si>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</si>
  <si>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</si>
  <si>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</si>
  <si>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</si>
  <si>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</si>
  <si>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</si>
  <si>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</si>
  <si>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</si>
  <si>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</si>
  <si>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</si>
  <si>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</si>
  <si>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</si>
  <si>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</si>
  <si>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</si>
  <si>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</si>
  <si>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</si>
  <si>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</si>
  <si>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</si>
  <si>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</si>
  <si>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</si>
  <si>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</si>
  <si>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</si>
  <si>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</si>
  <si>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</si>
  <si>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</si>
  <si>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</si>
  <si>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</si>
  <si>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</si>
  <si>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</si>
  <si>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</si>
  <si>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</si>
  <si>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</si>
  <si>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</si>
  <si>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</si>
  <si>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</si>
  <si>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</si>
  <si>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</si>
  <si>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</si>
  <si>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</si>
  <si>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</si>
  <si>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</si>
  <si>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</si>
  <si>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</si>
  <si>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</si>
  <si>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</si>
  <si>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</si>
  <si>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</si>
  <si>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</si>
  <si>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</si>
  <si>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</si>
  <si>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</si>
  <si>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</si>
  <si>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</si>
  <si>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</si>
  <si>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</si>
  <si>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</si>
  <si>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</si>
  <si>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</si>
  <si>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</si>
  <si>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</si>
  <si>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</si>
  <si>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</si>
  <si>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</si>
  <si>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</si>
  <si>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</si>
  <si>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</si>
  <si>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</si>
  <si>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</si>
  <si>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</si>
  <si>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</si>
  <si>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</si>
  <si>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</si>
  <si>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</si>
  <si>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</si>
  <si>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</si>
  <si>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</si>
  <si>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</si>
  <si>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</si>
  <si>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</si>
  <si>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</si>
  <si>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</si>
  <si>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</si>
  <si>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</si>
  <si>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</si>
  <si>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</si>
  <si>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</si>
  <si>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</si>
  <si>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</si>
  <si>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</si>
  <si>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</si>
  <si>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</si>
  <si>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</si>
  <si>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</si>
  <si>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</si>
  <si>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</si>
  <si>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</si>
  <si>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</si>
  <si>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</si>
  <si>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</si>
  <si>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</si>
  <si>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</si>
  <si>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</si>
  <si>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</si>
  <si>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</si>
  <si>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</si>
  <si>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</si>
  <si>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</si>
  <si>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</si>
  <si>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</si>
  <si>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</si>
  <si>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</si>
  <si>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</si>
  <si>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</si>
  <si>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</si>
  <si>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</si>
  <si>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</si>
  <si>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</si>
  <si>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</si>
  <si>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</si>
  <si>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</si>
  <si>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</si>
  <si>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</si>
  <si>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</si>
  <si>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</si>
  <si>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</si>
  <si>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</si>
  <si>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</si>
  <si>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</si>
  <si>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</si>
  <si>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</si>
  <si>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</si>
  <si>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</si>
  <si>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</si>
  <si>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</si>
  <si>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</si>
  <si>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</si>
  <si>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</si>
  <si>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</si>
  <si>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</si>
  <si>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</si>
  <si>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</si>
  <si>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</si>
  <si>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</si>
  <si>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</si>
  <si>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</si>
  <si>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</si>
  <si>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</si>
  <si>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</si>
  <si>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</si>
  <si>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</si>
  <si>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</si>
  <si>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</si>
  <si>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</si>
  <si>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</si>
  <si>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</si>
  <si>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</si>
  <si>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</si>
  <si>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</si>
  <si>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</si>
  <si>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</si>
  <si>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</si>
  <si>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</si>
  <si>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</si>
  <si>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</si>
  <si>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</si>
  <si>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</si>
  <si>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</si>
  <si>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</si>
  <si>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</si>
  <si>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</si>
  <si>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</si>
  <si>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</si>
  <si>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</si>
  <si>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</si>
  <si>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</si>
  <si>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</si>
  <si>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</si>
  <si>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</si>
  <si>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</si>
  <si>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</si>
  <si>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</si>
  <si>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</si>
  <si>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</si>
  <si>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</si>
  <si>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</si>
  <si>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</si>
  <si>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</si>
  <si>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</si>
  <si>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</si>
  <si>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</si>
  <si>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</si>
  <si>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</si>
  <si>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</si>
  <si>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</si>
  <si>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</si>
  <si>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</si>
  <si>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</si>
  <si>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</si>
  <si>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</si>
  <si>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</si>
  <si>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</si>
  <si>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</si>
  <si>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</si>
  <si>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</si>
  <si>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</si>
  <si>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</si>
  <si>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</si>
  <si>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</si>
  <si>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</si>
  <si>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</si>
  <si>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</si>
  <si>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</si>
  <si>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</si>
  <si>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</si>
  <si>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</si>
  <si>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</si>
  <si>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</si>
  <si>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</si>
  <si>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</si>
  <si>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</si>
  <si>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</si>
  <si>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</si>
  <si>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</si>
  <si>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</si>
  <si>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</si>
  <si>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</si>
  <si>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</si>
  <si>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</si>
  <si>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</si>
  <si>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</si>
  <si>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</si>
  <si>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</si>
  <si>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</si>
  <si>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</si>
  <si>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</si>
  <si>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</si>
  <si>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</si>
  <si>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</si>
  <si>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</si>
  <si>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</si>
  <si>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</si>
  <si>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</si>
  <si>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</si>
  <si>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</si>
  <si>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</si>
  <si>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</si>
  <si>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</si>
  <si>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</si>
  <si>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</si>
  <si>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</si>
  <si>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</si>
  <si>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</si>
  <si>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</si>
  <si>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</si>
  <si>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</si>
  <si>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</si>
  <si>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</si>
  <si>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</si>
  <si>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</si>
  <si>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</si>
  <si>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</si>
  <si>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</si>
  <si>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</si>
  <si>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</si>
  <si>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</si>
  <si>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</si>
  <si>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</si>
  <si>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</si>
  <si>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</si>
  <si>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</si>
  <si>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</si>
  <si>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</si>
  <si>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</si>
  <si>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</si>
  <si>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</si>
  <si>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</si>
  <si>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</si>
  <si>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</si>
  <si>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</si>
  <si>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</si>
  <si>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</si>
  <si>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</si>
  <si>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</si>
  <si>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</si>
  <si>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</si>
  <si>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</si>
  <si>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</si>
  <si>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</si>
  <si>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</si>
  <si>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</si>
  <si>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</si>
  <si>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</si>
  <si>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</si>
  <si>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</si>
  <si>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</si>
  <si>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</si>
  <si>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</si>
  <si>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</si>
  <si>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</si>
  <si>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</si>
  <si>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</si>
  <si>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</si>
  <si>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</si>
  <si>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</si>
  <si>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</si>
  <si>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</si>
  <si>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</si>
  <si>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</si>
  <si>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</si>
  <si>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</si>
  <si>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</si>
  <si>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</si>
  <si>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</si>
  <si>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</si>
  <si>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</si>
  <si>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</si>
  <si>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</si>
  <si>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</si>
  <si>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</si>
  <si>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</si>
  <si>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</si>
  <si>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</si>
  <si>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</si>
  <si>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</si>
  <si>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</si>
  <si>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</si>
  <si>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</si>
  <si>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</si>
  <si>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</si>
  <si>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</si>
  <si>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</si>
  <si>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</si>
  <si>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</si>
  <si>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</si>
  <si>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</si>
  <si>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</si>
  <si>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</si>
  <si>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</si>
  <si>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</si>
  <si>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</si>
  <si>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</si>
  <si>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</si>
  <si>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</si>
  <si>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</si>
  <si>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</si>
  <si>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</si>
  <si>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</si>
  <si>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</si>
  <si>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</si>
  <si>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</si>
  <si>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</si>
  <si>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</si>
  <si>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</si>
  <si>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</si>
  <si>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</si>
  <si>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</si>
  <si>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</si>
  <si>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</si>
  <si>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</si>
  <si>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</si>
  <si>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</si>
  <si>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</si>
  <si>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</si>
  <si>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</si>
  <si>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</si>
  <si>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</si>
  <si>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</si>
  <si>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</si>
  <si>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</si>
  <si>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</si>
  <si>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</si>
  <si>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</si>
  <si>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</si>
  <si>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</si>
  <si>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</si>
  <si>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</si>
  <si>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</si>
  <si>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</si>
  <si>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</si>
  <si>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</si>
  <si>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</si>
  <si>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</si>
  <si>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</si>
  <si>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</si>
  <si>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</si>
  <si>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</si>
  <si>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</si>
  <si>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</si>
  <si>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</si>
  <si>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</si>
  <si>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</si>
  <si>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</si>
  <si>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</si>
  <si>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</si>
  <si>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</si>
  <si>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</si>
  <si>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</si>
  <si>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</si>
  <si>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</si>
  <si>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</si>
  <si>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</si>
  <si>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</si>
  <si>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</si>
  <si>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</si>
  <si>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</si>
  <si>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</si>
  <si>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</si>
  <si>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</si>
  <si>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</si>
  <si>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</si>
  <si>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</si>
  <si>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</si>
  <si>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</si>
  <si>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</si>
  <si>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</si>
  <si>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</si>
  <si>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</si>
  <si>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</si>
  <si>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</si>
  <si>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</si>
  <si>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</si>
  <si>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</si>
  <si>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</si>
  <si>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</si>
  <si>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</si>
  <si>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</si>
  <si>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</si>
  <si>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</si>
  <si>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</si>
  <si>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</si>
  <si>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</si>
  <si>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</si>
  <si>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</si>
  <si>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</si>
  <si>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</si>
  <si>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</si>
  <si>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</si>
  <si>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</si>
  <si>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</si>
  <si>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</si>
  <si>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</si>
  <si>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</si>
  <si>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</si>
  <si>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</si>
  <si>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</si>
  <si>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</si>
  <si>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</si>
  <si>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</si>
  <si>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</si>
  <si>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</si>
  <si>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</si>
  <si>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</si>
  <si>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</si>
  <si>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</si>
  <si>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</si>
  <si>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</si>
  <si>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</si>
  <si>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</si>
  <si>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</si>
  <si>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</si>
  <si>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</si>
  <si>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</si>
  <si>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</si>
  <si>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</si>
  <si>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</si>
  <si>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</si>
  <si>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</si>
  <si>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</si>
  <si>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</si>
  <si>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</si>
  <si>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</si>
  <si>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</si>
  <si>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</si>
  <si>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</si>
  <si>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</si>
  <si>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</si>
  <si>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</si>
  <si>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</si>
  <si>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</si>
  <si>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</si>
  <si>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</si>
  <si>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</si>
  <si>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</si>
  <si>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Roast Type Name</t>
  </si>
  <si>
    <t>Sum of Sales</t>
  </si>
  <si>
    <t>Arabica</t>
  </si>
  <si>
    <t>Excelsa</t>
  </si>
  <si>
    <t>Liberica</t>
  </si>
  <si>
    <t>Robica</t>
  </si>
  <si>
    <t>2019</t>
  </si>
  <si>
    <t>jan</t>
  </si>
  <si>
    <t>feb</t>
  </si>
  <si>
    <t>mar</t>
  </si>
  <si>
    <t>apr</t>
  </si>
  <si>
    <t>mai</t>
  </si>
  <si>
    <t>jun</t>
  </si>
  <si>
    <t>jul</t>
  </si>
  <si>
    <t>aug</t>
  </si>
  <si>
    <t>sep</t>
  </si>
  <si>
    <t>okt</t>
  </si>
  <si>
    <t>nov</t>
  </si>
  <si>
    <t>des</t>
  </si>
  <si>
    <t>2020</t>
  </si>
  <si>
    <t>2021</t>
  </si>
  <si>
    <t>2022</t>
  </si>
  <si>
    <t>Years (Order Date)</t>
  </si>
  <si>
    <t>Months (Order Date)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</si>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</sst>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quot;kg&quot;\ "/>
    <numFmt numFmtId="166" formatCode="_-[$$-409]* #,##0.00_ ;_-[$$-409]* \-#,##0.00\ ;_-[$$-409]* &quot;-&quot;??_ ;_-@_ "/>
    <numFmt numFmtId="167" formatCode="[$USD]\ #,##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165" fontId="0" fillId="0" borderId="0" xfId="0" applyNumberFormat="1"/>
    <xf numFmtId="166" fontId="0" fillId="0" borderId="0" xfId="0" applyNumberFormat="1"/>
    <xf numFmtId="0" fontId="0" fillId="0" borderId="0" xfId="0" pivotButton="1"/>
    <xf numFmtId="3" fontId="0" fillId="0" borderId="0" xfId="0" applyNumberFormat="1"/>
    <xf numFmtId="167" fontId="0" fillId="0" borderId="0" xfId="0" applyNumberFormat="1"/>
  </cellXfs>
  <cellStyles count="1">
    <cellStyle name="Normal" xfId="0" builtinId="0"/>
  </cellStyles>
  <dxfs count="12">
    <dxf>
      <numFmt numFmtId="0" formatCode="General"/>
    </dxf>
    <dxf>
      <numFmt numFmtId="166" formatCode="_-[$$-409]* #,##0.00_ ;_-[$$-409]* \-#,##0.00\ ;_-[$$-409]* &quot;-&quot;??_ ;_-@_ "/>
    </dxf>
    <dxf>
      <numFmt numFmtId="166" formatCode="_-[$$-409]* #,##0.00_ ;_-[$$-409]* \-#,##0.00\ ;_-[$$-409]* &quot;-&quot;??_ ;_-@_ "/>
    </dxf>
    <dxf>
      <numFmt numFmtId="165" formatCode="0.0&quot;kg&quot;\ "/>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nb-NO"/>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mai</c:v>
                  </c:pt>
                  <c:pt idx="5">
                    <c:v>jun</c:v>
                  </c:pt>
                  <c:pt idx="6">
                    <c:v>jul</c:v>
                  </c:pt>
                  <c:pt idx="7">
                    <c:v>aug</c:v>
                  </c:pt>
                  <c:pt idx="8">
                    <c:v>sep</c:v>
                  </c:pt>
                  <c:pt idx="9">
                    <c:v>okt</c:v>
                  </c:pt>
                  <c:pt idx="10">
                    <c:v>nov</c:v>
                  </c:pt>
                  <c:pt idx="11">
                    <c:v>des</c:v>
                  </c:pt>
                  <c:pt idx="12">
                    <c:v>jan</c:v>
                  </c:pt>
                  <c:pt idx="13">
                    <c:v>feb</c:v>
                  </c:pt>
                  <c:pt idx="14">
                    <c:v>mar</c:v>
                  </c:pt>
                  <c:pt idx="15">
                    <c:v>apr</c:v>
                  </c:pt>
                  <c:pt idx="16">
                    <c:v>mai</c:v>
                  </c:pt>
                  <c:pt idx="17">
                    <c:v>jun</c:v>
                  </c:pt>
                  <c:pt idx="18">
                    <c:v>jul</c:v>
                  </c:pt>
                  <c:pt idx="19">
                    <c:v>aug</c:v>
                  </c:pt>
                  <c:pt idx="20">
                    <c:v>sep</c:v>
                  </c:pt>
                  <c:pt idx="21">
                    <c:v>okt</c:v>
                  </c:pt>
                  <c:pt idx="22">
                    <c:v>nov</c:v>
                  </c:pt>
                  <c:pt idx="23">
                    <c:v>des</c:v>
                  </c:pt>
                  <c:pt idx="24">
                    <c:v>jan</c:v>
                  </c:pt>
                  <c:pt idx="25">
                    <c:v>feb</c:v>
                  </c:pt>
                  <c:pt idx="26">
                    <c:v>mar</c:v>
                  </c:pt>
                  <c:pt idx="27">
                    <c:v>apr</c:v>
                  </c:pt>
                  <c:pt idx="28">
                    <c:v>mai</c:v>
                  </c:pt>
                  <c:pt idx="29">
                    <c:v>jun</c:v>
                  </c:pt>
                  <c:pt idx="30">
                    <c:v>jul</c:v>
                  </c:pt>
                  <c:pt idx="31">
                    <c:v>aug</c:v>
                  </c:pt>
                  <c:pt idx="32">
                    <c:v>sep</c:v>
                  </c:pt>
                  <c:pt idx="33">
                    <c:v>okt</c:v>
                  </c:pt>
                  <c:pt idx="34">
                    <c:v>nov</c:v>
                  </c:pt>
                  <c:pt idx="35">
                    <c:v>des</c:v>
                  </c:pt>
                  <c:pt idx="36">
                    <c:v>jan</c:v>
                  </c:pt>
                  <c:pt idx="37">
                    <c:v>feb</c:v>
                  </c:pt>
                  <c:pt idx="38">
                    <c:v>mar</c:v>
                  </c:pt>
                  <c:pt idx="39">
                    <c:v>apr</c:v>
                  </c:pt>
                  <c:pt idx="40">
                    <c:v>mai</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40.5</c:v>
                </c:pt>
                <c:pt idx="1">
                  <c:v>49.5</c:v>
                </c:pt>
                <c:pt idx="2">
                  <c:v>165.375</c:v>
                </c:pt>
                <c:pt idx="3">
                  <c:v>195.74999999999997</c:v>
                </c:pt>
                <c:pt idx="5">
                  <c:v>155.24999999999997</c:v>
                </c:pt>
                <c:pt idx="7">
                  <c:v>77.624999999999986</c:v>
                </c:pt>
                <c:pt idx="9">
                  <c:v>175.5</c:v>
                </c:pt>
                <c:pt idx="10">
                  <c:v>84.375</c:v>
                </c:pt>
                <c:pt idx="11">
                  <c:v>258.75</c:v>
                </c:pt>
                <c:pt idx="12">
                  <c:v>47.25</c:v>
                </c:pt>
                <c:pt idx="13">
                  <c:v>291.37499999999994</c:v>
                </c:pt>
                <c:pt idx="14">
                  <c:v>54</c:v>
                </c:pt>
                <c:pt idx="15">
                  <c:v>27</c:v>
                </c:pt>
                <c:pt idx="16">
                  <c:v>118.12499999999999</c:v>
                </c:pt>
                <c:pt idx="17">
                  <c:v>266.62499999999994</c:v>
                </c:pt>
                <c:pt idx="18">
                  <c:v>51.75</c:v>
                </c:pt>
                <c:pt idx="19">
                  <c:v>22.5</c:v>
                </c:pt>
                <c:pt idx="20">
                  <c:v>6.75</c:v>
                </c:pt>
                <c:pt idx="21">
                  <c:v>257.625</c:v>
                </c:pt>
                <c:pt idx="22">
                  <c:v>258.74999999999994</c:v>
                </c:pt>
                <c:pt idx="23">
                  <c:v>37.125</c:v>
                </c:pt>
                <c:pt idx="24">
                  <c:v>217.125</c:v>
                </c:pt>
                <c:pt idx="25">
                  <c:v>103.49999999999999</c:v>
                </c:pt>
                <c:pt idx="26">
                  <c:v>13.5</c:v>
                </c:pt>
                <c:pt idx="27">
                  <c:v>45</c:v>
                </c:pt>
                <c:pt idx="28">
                  <c:v>193.5</c:v>
                </c:pt>
                <c:pt idx="29">
                  <c:v>103.49999999999999</c:v>
                </c:pt>
                <c:pt idx="30">
                  <c:v>63</c:v>
                </c:pt>
                <c:pt idx="31">
                  <c:v>182.25</c:v>
                </c:pt>
                <c:pt idx="32">
                  <c:v>242.99999999999997</c:v>
                </c:pt>
                <c:pt idx="33">
                  <c:v>83.25</c:v>
                </c:pt>
                <c:pt idx="34">
                  <c:v>78.75</c:v>
                </c:pt>
                <c:pt idx="35">
                  <c:v>40.5</c:v>
                </c:pt>
                <c:pt idx="36">
                  <c:v>85.5</c:v>
                </c:pt>
                <c:pt idx="38">
                  <c:v>51.75</c:v>
                </c:pt>
                <c:pt idx="39">
                  <c:v>132.75</c:v>
                </c:pt>
                <c:pt idx="40">
                  <c:v>70.875</c:v>
                </c:pt>
                <c:pt idx="41">
                  <c:v>67.5</c:v>
                </c:pt>
                <c:pt idx="42">
                  <c:v>72</c:v>
                </c:pt>
              </c:numCache>
            </c:numRef>
          </c:val>
          <c:smooth val="0"/>
          <c:extLst>
            <c:ext xmlns:c16="http://schemas.microsoft.com/office/drawing/2014/chart" uri="{C3380CC4-5D6E-409C-BE32-E72D297353CC}">
              <c16:uniqueId val="{00000006-4EDA-41C0-ABF3-28BFC555B84D}"/>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mai</c:v>
                  </c:pt>
                  <c:pt idx="5">
                    <c:v>jun</c:v>
                  </c:pt>
                  <c:pt idx="6">
                    <c:v>jul</c:v>
                  </c:pt>
                  <c:pt idx="7">
                    <c:v>aug</c:v>
                  </c:pt>
                  <c:pt idx="8">
                    <c:v>sep</c:v>
                  </c:pt>
                  <c:pt idx="9">
                    <c:v>okt</c:v>
                  </c:pt>
                  <c:pt idx="10">
                    <c:v>nov</c:v>
                  </c:pt>
                  <c:pt idx="11">
                    <c:v>des</c:v>
                  </c:pt>
                  <c:pt idx="12">
                    <c:v>jan</c:v>
                  </c:pt>
                  <c:pt idx="13">
                    <c:v>feb</c:v>
                  </c:pt>
                  <c:pt idx="14">
                    <c:v>mar</c:v>
                  </c:pt>
                  <c:pt idx="15">
                    <c:v>apr</c:v>
                  </c:pt>
                  <c:pt idx="16">
                    <c:v>mai</c:v>
                  </c:pt>
                  <c:pt idx="17">
                    <c:v>jun</c:v>
                  </c:pt>
                  <c:pt idx="18">
                    <c:v>jul</c:v>
                  </c:pt>
                  <c:pt idx="19">
                    <c:v>aug</c:v>
                  </c:pt>
                  <c:pt idx="20">
                    <c:v>sep</c:v>
                  </c:pt>
                  <c:pt idx="21">
                    <c:v>okt</c:v>
                  </c:pt>
                  <c:pt idx="22">
                    <c:v>nov</c:v>
                  </c:pt>
                  <c:pt idx="23">
                    <c:v>des</c:v>
                  </c:pt>
                  <c:pt idx="24">
                    <c:v>jan</c:v>
                  </c:pt>
                  <c:pt idx="25">
                    <c:v>feb</c:v>
                  </c:pt>
                  <c:pt idx="26">
                    <c:v>mar</c:v>
                  </c:pt>
                  <c:pt idx="27">
                    <c:v>apr</c:v>
                  </c:pt>
                  <c:pt idx="28">
                    <c:v>mai</c:v>
                  </c:pt>
                  <c:pt idx="29">
                    <c:v>jun</c:v>
                  </c:pt>
                  <c:pt idx="30">
                    <c:v>jul</c:v>
                  </c:pt>
                  <c:pt idx="31">
                    <c:v>aug</c:v>
                  </c:pt>
                  <c:pt idx="32">
                    <c:v>sep</c:v>
                  </c:pt>
                  <c:pt idx="33">
                    <c:v>okt</c:v>
                  </c:pt>
                  <c:pt idx="34">
                    <c:v>nov</c:v>
                  </c:pt>
                  <c:pt idx="35">
                    <c:v>des</c:v>
                  </c:pt>
                  <c:pt idx="36">
                    <c:v>jan</c:v>
                  </c:pt>
                  <c:pt idx="37">
                    <c:v>feb</c:v>
                  </c:pt>
                  <c:pt idx="38">
                    <c:v>mar</c:v>
                  </c:pt>
                  <c:pt idx="39">
                    <c:v>apr</c:v>
                  </c:pt>
                  <c:pt idx="40">
                    <c:v>mai</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33</c:v>
                </c:pt>
                <c:pt idx="1">
                  <c:v>96.25</c:v>
                </c:pt>
                <c:pt idx="2">
                  <c:v>104.5</c:v>
                </c:pt>
                <c:pt idx="5">
                  <c:v>325.87499999999994</c:v>
                </c:pt>
                <c:pt idx="6">
                  <c:v>49.5</c:v>
                </c:pt>
                <c:pt idx="7">
                  <c:v>41.25</c:v>
                </c:pt>
                <c:pt idx="8">
                  <c:v>77</c:v>
                </c:pt>
                <c:pt idx="10">
                  <c:v>63.249999999999993</c:v>
                </c:pt>
                <c:pt idx="11">
                  <c:v>8.25</c:v>
                </c:pt>
                <c:pt idx="12">
                  <c:v>33</c:v>
                </c:pt>
                <c:pt idx="13">
                  <c:v>81.125</c:v>
                </c:pt>
                <c:pt idx="15">
                  <c:v>269.5</c:v>
                </c:pt>
                <c:pt idx="16">
                  <c:v>221.37499999999997</c:v>
                </c:pt>
                <c:pt idx="17">
                  <c:v>145.75</c:v>
                </c:pt>
                <c:pt idx="18">
                  <c:v>182.875</c:v>
                </c:pt>
                <c:pt idx="19">
                  <c:v>27.5</c:v>
                </c:pt>
                <c:pt idx="20">
                  <c:v>68.75</c:v>
                </c:pt>
                <c:pt idx="21">
                  <c:v>162.25</c:v>
                </c:pt>
                <c:pt idx="23">
                  <c:v>72.875</c:v>
                </c:pt>
                <c:pt idx="24">
                  <c:v>31.624999999999996</c:v>
                </c:pt>
                <c:pt idx="25">
                  <c:v>41.25</c:v>
                </c:pt>
                <c:pt idx="26">
                  <c:v>279.125</c:v>
                </c:pt>
                <c:pt idx="27">
                  <c:v>145.75</c:v>
                </c:pt>
                <c:pt idx="28">
                  <c:v>57.75</c:v>
                </c:pt>
                <c:pt idx="29">
                  <c:v>81.125</c:v>
                </c:pt>
                <c:pt idx="30">
                  <c:v>225.49999999999997</c:v>
                </c:pt>
                <c:pt idx="31">
                  <c:v>121</c:v>
                </c:pt>
                <c:pt idx="32">
                  <c:v>82.5</c:v>
                </c:pt>
                <c:pt idx="33">
                  <c:v>136.125</c:v>
                </c:pt>
                <c:pt idx="34">
                  <c:v>240.62499999999997</c:v>
                </c:pt>
                <c:pt idx="35">
                  <c:v>20.625</c:v>
                </c:pt>
                <c:pt idx="37">
                  <c:v>53.625</c:v>
                </c:pt>
                <c:pt idx="38">
                  <c:v>24.75</c:v>
                </c:pt>
                <c:pt idx="39">
                  <c:v>24.75</c:v>
                </c:pt>
                <c:pt idx="40">
                  <c:v>126.49999999999999</c:v>
                </c:pt>
                <c:pt idx="41">
                  <c:v>126.49999999999999</c:v>
                </c:pt>
                <c:pt idx="42">
                  <c:v>158.12499999999997</c:v>
                </c:pt>
                <c:pt idx="43">
                  <c:v>41.25</c:v>
                </c:pt>
              </c:numCache>
            </c:numRef>
          </c:val>
          <c:smooth val="0"/>
          <c:extLst>
            <c:ext xmlns:c16="http://schemas.microsoft.com/office/drawing/2014/chart" uri="{C3380CC4-5D6E-409C-BE32-E72D297353CC}">
              <c16:uniqueId val="{00000007-4EDA-41C0-ABF3-28BFC555B84D}"/>
            </c:ext>
          </c:extLst>
        </c:ser>
        <c:ser>
          <c:idx val="2"/>
          <c:order val="2"/>
          <c:tx>
            <c:strRef>
              <c:f>TotalSales!$E$3:$E$4</c:f>
              <c:strCache>
                <c:ptCount val="1"/>
                <c:pt idx="0">
                  <c:v>Liberica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mai</c:v>
                  </c:pt>
                  <c:pt idx="5">
                    <c:v>jun</c:v>
                  </c:pt>
                  <c:pt idx="6">
                    <c:v>jul</c:v>
                  </c:pt>
                  <c:pt idx="7">
                    <c:v>aug</c:v>
                  </c:pt>
                  <c:pt idx="8">
                    <c:v>sep</c:v>
                  </c:pt>
                  <c:pt idx="9">
                    <c:v>okt</c:v>
                  </c:pt>
                  <c:pt idx="10">
                    <c:v>nov</c:v>
                  </c:pt>
                  <c:pt idx="11">
                    <c:v>des</c:v>
                  </c:pt>
                  <c:pt idx="12">
                    <c:v>jan</c:v>
                  </c:pt>
                  <c:pt idx="13">
                    <c:v>feb</c:v>
                  </c:pt>
                  <c:pt idx="14">
                    <c:v>mar</c:v>
                  </c:pt>
                  <c:pt idx="15">
                    <c:v>apr</c:v>
                  </c:pt>
                  <c:pt idx="16">
                    <c:v>mai</c:v>
                  </c:pt>
                  <c:pt idx="17">
                    <c:v>jun</c:v>
                  </c:pt>
                  <c:pt idx="18">
                    <c:v>jul</c:v>
                  </c:pt>
                  <c:pt idx="19">
                    <c:v>aug</c:v>
                  </c:pt>
                  <c:pt idx="20">
                    <c:v>sep</c:v>
                  </c:pt>
                  <c:pt idx="21">
                    <c:v>okt</c:v>
                  </c:pt>
                  <c:pt idx="22">
                    <c:v>nov</c:v>
                  </c:pt>
                  <c:pt idx="23">
                    <c:v>des</c:v>
                  </c:pt>
                  <c:pt idx="24">
                    <c:v>jan</c:v>
                  </c:pt>
                  <c:pt idx="25">
                    <c:v>feb</c:v>
                  </c:pt>
                  <c:pt idx="26">
                    <c:v>mar</c:v>
                  </c:pt>
                  <c:pt idx="27">
                    <c:v>apr</c:v>
                  </c:pt>
                  <c:pt idx="28">
                    <c:v>mai</c:v>
                  </c:pt>
                  <c:pt idx="29">
                    <c:v>jun</c:v>
                  </c:pt>
                  <c:pt idx="30">
                    <c:v>jul</c:v>
                  </c:pt>
                  <c:pt idx="31">
                    <c:v>aug</c:v>
                  </c:pt>
                  <c:pt idx="32">
                    <c:v>sep</c:v>
                  </c:pt>
                  <c:pt idx="33">
                    <c:v>okt</c:v>
                  </c:pt>
                  <c:pt idx="34">
                    <c:v>nov</c:v>
                  </c:pt>
                  <c:pt idx="35">
                    <c:v>des</c:v>
                  </c:pt>
                  <c:pt idx="36">
                    <c:v>jan</c:v>
                  </c:pt>
                  <c:pt idx="37">
                    <c:v>feb</c:v>
                  </c:pt>
                  <c:pt idx="38">
                    <c:v>mar</c:v>
                  </c:pt>
                  <c:pt idx="39">
                    <c:v>apr</c:v>
                  </c:pt>
                  <c:pt idx="40">
                    <c:v>mai</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1">
                  <c:v>68.384999999999991</c:v>
                </c:pt>
                <c:pt idx="2">
                  <c:v>186.23999999999998</c:v>
                </c:pt>
                <c:pt idx="3">
                  <c:v>240.07499999999999</c:v>
                </c:pt>
                <c:pt idx="4">
                  <c:v>48.015000000000001</c:v>
                </c:pt>
                <c:pt idx="5">
                  <c:v>43.650000000000006</c:v>
                </c:pt>
                <c:pt idx="7">
                  <c:v>87.300000000000011</c:v>
                </c:pt>
                <c:pt idx="8">
                  <c:v>200.78999999999996</c:v>
                </c:pt>
                <c:pt idx="10">
                  <c:v>88.754999999999995</c:v>
                </c:pt>
                <c:pt idx="11">
                  <c:v>52.38000000000001</c:v>
                </c:pt>
                <c:pt idx="12">
                  <c:v>50.924999999999997</c:v>
                </c:pt>
                <c:pt idx="13">
                  <c:v>26.19</c:v>
                </c:pt>
                <c:pt idx="14">
                  <c:v>61.110000000000007</c:v>
                </c:pt>
                <c:pt idx="15">
                  <c:v>77.115000000000009</c:v>
                </c:pt>
                <c:pt idx="16">
                  <c:v>59.655000000000001</c:v>
                </c:pt>
                <c:pt idx="18">
                  <c:v>104.76000000000002</c:v>
                </c:pt>
                <c:pt idx="20">
                  <c:v>17.46</c:v>
                </c:pt>
                <c:pt idx="21">
                  <c:v>58.2</c:v>
                </c:pt>
                <c:pt idx="22">
                  <c:v>39.285000000000004</c:v>
                </c:pt>
                <c:pt idx="24">
                  <c:v>43.650000000000006</c:v>
                </c:pt>
                <c:pt idx="25">
                  <c:v>119.31</c:v>
                </c:pt>
                <c:pt idx="26">
                  <c:v>168.78000000000003</c:v>
                </c:pt>
                <c:pt idx="27">
                  <c:v>87.300000000000011</c:v>
                </c:pt>
                <c:pt idx="29">
                  <c:v>21.825000000000003</c:v>
                </c:pt>
                <c:pt idx="30">
                  <c:v>8.73</c:v>
                </c:pt>
                <c:pt idx="31">
                  <c:v>58.2</c:v>
                </c:pt>
                <c:pt idx="32">
                  <c:v>74.205000000000013</c:v>
                </c:pt>
                <c:pt idx="33">
                  <c:v>154.23000000000002</c:v>
                </c:pt>
                <c:pt idx="34">
                  <c:v>244.44000000000003</c:v>
                </c:pt>
                <c:pt idx="35">
                  <c:v>162.95999999999998</c:v>
                </c:pt>
                <c:pt idx="36">
                  <c:v>344.83499999999992</c:v>
                </c:pt>
                <c:pt idx="37">
                  <c:v>26.19</c:v>
                </c:pt>
                <c:pt idx="38">
                  <c:v>181.875</c:v>
                </c:pt>
                <c:pt idx="40">
                  <c:v>162.95999999999998</c:v>
                </c:pt>
                <c:pt idx="41">
                  <c:v>8.73</c:v>
                </c:pt>
                <c:pt idx="42">
                  <c:v>13.095000000000001</c:v>
                </c:pt>
              </c:numCache>
            </c:numRef>
          </c:val>
          <c:smooth val="0"/>
          <c:extLst>
            <c:ext xmlns:c16="http://schemas.microsoft.com/office/drawing/2014/chart" uri="{C3380CC4-5D6E-409C-BE32-E72D297353CC}">
              <c16:uniqueId val="{00000008-4EDA-41C0-ABF3-28BFC555B84D}"/>
            </c:ext>
          </c:extLst>
        </c:ser>
        <c:ser>
          <c:idx val="3"/>
          <c:order val="3"/>
          <c:tx>
            <c:strRef>
              <c:f>TotalSales!$F$3:$F$4</c:f>
              <c:strCache>
                <c:ptCount val="1"/>
                <c:pt idx="0">
                  <c:v>Robica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mai</c:v>
                  </c:pt>
                  <c:pt idx="5">
                    <c:v>jun</c:v>
                  </c:pt>
                  <c:pt idx="6">
                    <c:v>jul</c:v>
                  </c:pt>
                  <c:pt idx="7">
                    <c:v>aug</c:v>
                  </c:pt>
                  <c:pt idx="8">
                    <c:v>sep</c:v>
                  </c:pt>
                  <c:pt idx="9">
                    <c:v>okt</c:v>
                  </c:pt>
                  <c:pt idx="10">
                    <c:v>nov</c:v>
                  </c:pt>
                  <c:pt idx="11">
                    <c:v>des</c:v>
                  </c:pt>
                  <c:pt idx="12">
                    <c:v>jan</c:v>
                  </c:pt>
                  <c:pt idx="13">
                    <c:v>feb</c:v>
                  </c:pt>
                  <c:pt idx="14">
                    <c:v>mar</c:v>
                  </c:pt>
                  <c:pt idx="15">
                    <c:v>apr</c:v>
                  </c:pt>
                  <c:pt idx="16">
                    <c:v>mai</c:v>
                  </c:pt>
                  <c:pt idx="17">
                    <c:v>jun</c:v>
                  </c:pt>
                  <c:pt idx="18">
                    <c:v>jul</c:v>
                  </c:pt>
                  <c:pt idx="19">
                    <c:v>aug</c:v>
                  </c:pt>
                  <c:pt idx="20">
                    <c:v>sep</c:v>
                  </c:pt>
                  <c:pt idx="21">
                    <c:v>okt</c:v>
                  </c:pt>
                  <c:pt idx="22">
                    <c:v>nov</c:v>
                  </c:pt>
                  <c:pt idx="23">
                    <c:v>des</c:v>
                  </c:pt>
                  <c:pt idx="24">
                    <c:v>jan</c:v>
                  </c:pt>
                  <c:pt idx="25">
                    <c:v>feb</c:v>
                  </c:pt>
                  <c:pt idx="26">
                    <c:v>mar</c:v>
                  </c:pt>
                  <c:pt idx="27">
                    <c:v>apr</c:v>
                  </c:pt>
                  <c:pt idx="28">
                    <c:v>mai</c:v>
                  </c:pt>
                  <c:pt idx="29">
                    <c:v>jun</c:v>
                  </c:pt>
                  <c:pt idx="30">
                    <c:v>jul</c:v>
                  </c:pt>
                  <c:pt idx="31">
                    <c:v>aug</c:v>
                  </c:pt>
                  <c:pt idx="32">
                    <c:v>sep</c:v>
                  </c:pt>
                  <c:pt idx="33">
                    <c:v>okt</c:v>
                  </c:pt>
                  <c:pt idx="34">
                    <c:v>nov</c:v>
                  </c:pt>
                  <c:pt idx="35">
                    <c:v>des</c:v>
                  </c:pt>
                  <c:pt idx="36">
                    <c:v>jan</c:v>
                  </c:pt>
                  <c:pt idx="37">
                    <c:v>feb</c:v>
                  </c:pt>
                  <c:pt idx="38">
                    <c:v>mar</c:v>
                  </c:pt>
                  <c:pt idx="39">
                    <c:v>apr</c:v>
                  </c:pt>
                  <c:pt idx="40">
                    <c:v>mai</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101.49</c:v>
                </c:pt>
                <c:pt idx="2">
                  <c:v>17.91</c:v>
                </c:pt>
                <c:pt idx="3">
                  <c:v>17.91</c:v>
                </c:pt>
                <c:pt idx="4">
                  <c:v>35.82</c:v>
                </c:pt>
                <c:pt idx="5">
                  <c:v>29.849999999999998</c:v>
                </c:pt>
                <c:pt idx="6">
                  <c:v>68.655000000000001</c:v>
                </c:pt>
                <c:pt idx="7">
                  <c:v>77.61</c:v>
                </c:pt>
                <c:pt idx="8">
                  <c:v>314.41999999999996</c:v>
                </c:pt>
                <c:pt idx="9">
                  <c:v>48.754999999999995</c:v>
                </c:pt>
                <c:pt idx="10">
                  <c:v>59.699999999999996</c:v>
                </c:pt>
                <c:pt idx="12">
                  <c:v>17.91</c:v>
                </c:pt>
                <c:pt idx="13">
                  <c:v>17.91</c:v>
                </c:pt>
                <c:pt idx="14">
                  <c:v>220.89000000000001</c:v>
                </c:pt>
                <c:pt idx="15">
                  <c:v>144.27499999999998</c:v>
                </c:pt>
                <c:pt idx="16">
                  <c:v>17.91</c:v>
                </c:pt>
                <c:pt idx="17">
                  <c:v>22.884999999999998</c:v>
                </c:pt>
                <c:pt idx="19">
                  <c:v>17.91</c:v>
                </c:pt>
                <c:pt idx="20">
                  <c:v>87.56</c:v>
                </c:pt>
                <c:pt idx="22">
                  <c:v>49.75</c:v>
                </c:pt>
                <c:pt idx="23">
                  <c:v>63.679999999999993</c:v>
                </c:pt>
                <c:pt idx="24">
                  <c:v>151.23999999999998</c:v>
                </c:pt>
                <c:pt idx="26">
                  <c:v>95.52</c:v>
                </c:pt>
                <c:pt idx="28">
                  <c:v>5.97</c:v>
                </c:pt>
                <c:pt idx="29">
                  <c:v>5.97</c:v>
                </c:pt>
                <c:pt idx="31">
                  <c:v>114.42499999999998</c:v>
                </c:pt>
                <c:pt idx="32">
                  <c:v>39.799999999999997</c:v>
                </c:pt>
                <c:pt idx="33">
                  <c:v>130.345</c:v>
                </c:pt>
                <c:pt idx="34">
                  <c:v>148.255</c:v>
                </c:pt>
                <c:pt idx="36">
                  <c:v>45.769999999999996</c:v>
                </c:pt>
                <c:pt idx="37">
                  <c:v>17.91</c:v>
                </c:pt>
                <c:pt idx="38">
                  <c:v>5.97</c:v>
                </c:pt>
                <c:pt idx="39">
                  <c:v>59.699999999999996</c:v>
                </c:pt>
                <c:pt idx="40">
                  <c:v>29.849999999999998</c:v>
                </c:pt>
                <c:pt idx="41">
                  <c:v>211.93499999999997</c:v>
                </c:pt>
                <c:pt idx="42">
                  <c:v>127.35999999999999</c:v>
                </c:pt>
                <c:pt idx="43">
                  <c:v>14.924999999999999</c:v>
                </c:pt>
              </c:numCache>
            </c:numRef>
          </c:val>
          <c:smooth val="0"/>
          <c:extLst>
            <c:ext xmlns:c16="http://schemas.microsoft.com/office/drawing/2014/chart" uri="{C3380CC4-5D6E-409C-BE32-E72D297353CC}">
              <c16:uniqueId val="{00000009-4EDA-41C0-ABF3-28BFC555B84D}"/>
            </c:ext>
          </c:extLst>
        </c:ser>
        <c:dLbls>
          <c:showLegendKey val="0"/>
          <c:showVal val="0"/>
          <c:showCatName val="0"/>
          <c:showSerName val="0"/>
          <c:showPercent val="0"/>
          <c:showBubbleSize val="0"/>
        </c:dLbls>
        <c:smooth val="0"/>
        <c:axId val="852463712"/>
        <c:axId val="643607408"/>
      </c:lineChart>
      <c:catAx>
        <c:axId val="852463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643607408"/>
        <c:crosses val="autoZero"/>
        <c:auto val="1"/>
        <c:lblAlgn val="ctr"/>
        <c:lblOffset val="100"/>
        <c:noMultiLvlLbl val="0"/>
      </c:catAx>
      <c:valAx>
        <c:axId val="6436074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nb-NO"/>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crossAx val="852463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nb-N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nb-N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[coffeeOrdersData.xlsx]CountryBarchart!TotalSales</c:name>
    <c:fmtId val="16"/>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t>Sales By Country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nb-NO"/>
        </a:p>
      </c:txPr>
    </c:title>
    <c:autoTitleDeleted val="0"/>
    <c:pivotFmts>
      <c:pivotFmt>
        <c:idx val="0"/>
        <c:spPr>
          <a:solidFill>
            <a:schemeClr val="accent1">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nb-N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
        <c:spPr>
          <a:solidFill>
            <a:schemeClr val="accent1">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4"/>
        <c:spPr>
          <a:solidFill>
            <a:schemeClr val="accent1">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nb-N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nb-N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CountryBarchart!$B$3</c:f>
              <c:strCache>
                <c:ptCount val="1"/>
                <c:pt idx="0">
                  <c:v>Total</c:v>
                </c:pt>
              </c:strCache>
            </c:strRef>
          </c:tx>
          <c:spPr>
            <a:solidFill>
              <a:schemeClr val="accent1">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Pt>
            <c:idx val="1"/>
            <c:invertIfNegative val="0"/>
            <c:bubble3D val="0"/>
            <c:spPr>
              <a:solidFill>
                <a:schemeClr val="accent1">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0-2851-4528-8F45-77F32A1D51F7}"/>
              </c:ext>
            </c:extLst>
          </c:dPt>
          <c:dLbls>
            <c:dLbl>
              <c:idx val="1"/>
              <c:delete val="1"/>
              <c:extLst>
                <c:ext xmlns:c15="http://schemas.microsoft.com/office/drawing/2012/chart" uri="{CE6537A1-D6FC-4f65-9D91-7224C49458BB}"/>
                <c:ext xmlns:c16="http://schemas.microsoft.com/office/drawing/2014/chart" uri="{C3380CC4-5D6E-409C-BE32-E72D297353CC}">
                  <c16:uniqueId val="{00000000-2851-4528-8F45-77F32A1D51F7}"/>
                </c:ext>
              </c:extLst>
            </c:dLbl>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nb-N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[$USD]\ #\ ##0</c:formatCode>
                <c:ptCount val="3"/>
                <c:pt idx="0">
                  <c:v>992.5400000000003</c:v>
                </c:pt>
                <c:pt idx="1">
                  <c:v>1428.4850000000001</c:v>
                </c:pt>
                <c:pt idx="2">
                  <c:v>12179.449999999992</c:v>
                </c:pt>
              </c:numCache>
            </c:numRef>
          </c:val>
          <c:extLst>
            <c:ext xmlns:c16="http://schemas.microsoft.com/office/drawing/2014/chart" uri="{C3380CC4-5D6E-409C-BE32-E72D297353CC}">
              <c16:uniqueId val="{00000002-83A1-4709-ADF4-20FAE7FB3611}"/>
            </c:ext>
          </c:extLst>
        </c:ser>
        <c:dLbls>
          <c:showLegendKey val="0"/>
          <c:showVal val="0"/>
          <c:showCatName val="0"/>
          <c:showSerName val="0"/>
          <c:showPercent val="0"/>
          <c:showBubbleSize val="0"/>
        </c:dLbls>
        <c:gapWidth val="182"/>
        <c:axId val="1979886047"/>
        <c:axId val="426665823"/>
      </c:barChart>
      <c:catAx>
        <c:axId val="1979886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nb-NO"/>
          </a:p>
        </c:txPr>
        <c:crossAx val="426665823"/>
        <c:crosses val="autoZero"/>
        <c:auto val="1"/>
        <c:lblAlgn val="ctr"/>
        <c:lblOffset val="100"/>
        <c:noMultiLvlLbl val="0"/>
      </c:catAx>
      <c:valAx>
        <c:axId val="426665823"/>
        <c:scaling>
          <c:orientation val="minMax"/>
        </c:scaling>
        <c:delete val="0"/>
        <c:axPos val="b"/>
        <c:majorGridlines>
          <c:spPr>
            <a:ln w="9525" cap="flat" cmpd="sng" algn="ctr">
              <a:solidFill>
                <a:schemeClr val="accent1">
                  <a:lumMod val="50000"/>
                </a:schemeClr>
              </a:solidFill>
              <a:round/>
            </a:ln>
            <a:effectLst/>
          </c:spPr>
        </c:majorGridlines>
        <c:numFmt formatCode="[$USD]\ #\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nb-NO"/>
          </a:p>
        </c:txPr>
        <c:crossAx val="197988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solidFill>
            <a:schemeClr val="accent1">
              <a:lumMod val="50000"/>
            </a:schemeClr>
          </a:solidFill>
        </a:defRPr>
      </a:pPr>
      <a:endParaRPr lang="nb-N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Customers!TotalSales</c:name>
    <c:fmtId val="17"/>
  </c:pivotSource>
  <c:chart>
    <c:title>
      <c:tx>
        <c:rich>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50000"/>
                </a:schemeClr>
              </a:solidFill>
              <a:latin typeface="+mn-lt"/>
              <a:ea typeface="+mn-ea"/>
              <a:cs typeface="+mn-cs"/>
            </a:defRPr>
          </a:pPr>
          <a:endParaRPr lang="nb-NO"/>
        </a:p>
      </c:txPr>
    </c:title>
    <c:autoTitleDeleted val="0"/>
    <c:pivotFmts>
      <c:pivotFmt>
        <c:idx val="0"/>
        <c:spPr>
          <a:solidFill>
            <a:schemeClr val="accent1">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nb-N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
        <c:spPr>
          <a:solidFill>
            <a:schemeClr val="accent1">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4"/>
        <c:spPr>
          <a:solidFill>
            <a:schemeClr val="accent1">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nb-N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nb-NO"/>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nb-N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nb-N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lumMod val="50000"/>
              </a:schemeClr>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nb-N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Hall Ranner</c:v>
                </c:pt>
                <c:pt idx="1">
                  <c:v>Claudetta Rushe</c:v>
                </c:pt>
                <c:pt idx="2">
                  <c:v>Hatty Dovydenas</c:v>
                </c:pt>
                <c:pt idx="3">
                  <c:v>Lemuel Rignold</c:v>
                </c:pt>
                <c:pt idx="4">
                  <c:v>Derick Snow</c:v>
                </c:pt>
              </c:strCache>
            </c:strRef>
          </c:cat>
          <c:val>
            <c:numRef>
              <c:f>'Top 5 Customers'!$B$4:$B$8</c:f>
              <c:numCache>
                <c:formatCode>[$USD]\ #\ ##0</c:formatCode>
                <c:ptCount val="5"/>
                <c:pt idx="0">
                  <c:v>158.12499999999997</c:v>
                </c:pt>
                <c:pt idx="1">
                  <c:v>189.74999999999997</c:v>
                </c:pt>
                <c:pt idx="2">
                  <c:v>189.74999999999997</c:v>
                </c:pt>
                <c:pt idx="3">
                  <c:v>200.78999999999996</c:v>
                </c:pt>
                <c:pt idx="4">
                  <c:v>251.12499999999997</c:v>
                </c:pt>
              </c:numCache>
            </c:numRef>
          </c:val>
          <c:extLst>
            <c:ext xmlns:c16="http://schemas.microsoft.com/office/drawing/2014/chart" uri="{C3380CC4-5D6E-409C-BE32-E72D297353CC}">
              <c16:uniqueId val="{00000001-461D-47F0-BA49-0779DF824B0F}"/>
            </c:ext>
          </c:extLst>
        </c:ser>
        <c:dLbls>
          <c:showLegendKey val="0"/>
          <c:showVal val="0"/>
          <c:showCatName val="0"/>
          <c:showSerName val="0"/>
          <c:showPercent val="0"/>
          <c:showBubbleSize val="0"/>
        </c:dLbls>
        <c:gapWidth val="182"/>
        <c:axId val="1979886047"/>
        <c:axId val="426665823"/>
      </c:barChart>
      <c:catAx>
        <c:axId val="19798860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nb-NO"/>
          </a:p>
        </c:txPr>
        <c:crossAx val="426665823"/>
        <c:crosses val="autoZero"/>
        <c:auto val="1"/>
        <c:lblAlgn val="ctr"/>
        <c:lblOffset val="100"/>
        <c:noMultiLvlLbl val="0"/>
      </c:catAx>
      <c:valAx>
        <c:axId val="426665823"/>
        <c:scaling>
          <c:orientation val="minMax"/>
        </c:scaling>
        <c:delete val="0"/>
        <c:axPos val="b"/>
        <c:majorGridlines>
          <c:spPr>
            <a:ln w="9525" cap="flat" cmpd="sng" algn="ctr">
              <a:solidFill>
                <a:schemeClr val="accent1">
                  <a:lumMod val="50000"/>
                </a:schemeClr>
              </a:solidFill>
              <a:round/>
            </a:ln>
            <a:effectLst/>
          </c:spPr>
        </c:majorGridlines>
        <c:numFmt formatCode="[$USD]\ #\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nb-NO"/>
          </a:p>
        </c:txPr>
        <c:crossAx val="197988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solidFill>
            <a:schemeClr val="accent1">
              <a:lumMod val="50000"/>
            </a:schemeClr>
          </a:solidFill>
        </a:defRPr>
      </a:pPr>
      <a:endParaRPr lang="nb-N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66675</xdr:colOff>
      <xdr:row>0</xdr:row>
      <xdr:rowOff>47625</xdr:rowOff>
    </xdr:from>
    <xdr:to>
      <xdr:col>25</xdr:col>
      <xdr:colOff>590550</xdr:colOff>
      <xdr:row>5</xdr:row>
      <xdr:rowOff>0</xdr:rowOff>
    </xdr:to>
    <xdr:sp macro="" textlink="">
      <xdr:nvSpPr>
        <xdr:cNvPr id="4" name="Rectangle 3">
          <a:extLst>
            <a:ext uri="{FF2B5EF4-FFF2-40B4-BE49-F238E27FC236}">
              <a16:creationId xmlns:a16="http://schemas.microsoft.com/office/drawing/2014/main" id="{F5B9301D-FE5D-9AEF-02CB-F8B91E7EE52A}"/>
            </a:ext>
          </a:extLst>
        </xdr:cNvPr>
        <xdr:cNvSpPr/>
      </xdr:nvSpPr>
      <xdr:spPr>
        <a:xfrm>
          <a:off x="180975" y="47625"/>
          <a:ext cx="15154275" cy="771525"/>
        </a:xfrm>
        <a:prstGeom prst="rect">
          <a:avLst/>
        </a:prstGeom>
        <a:solidFill>
          <a:schemeClr val="accent1">
            <a:lumMod val="40000"/>
            <a:lumOff val="60000"/>
          </a:schemeClr>
        </a:solid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nb-NO" sz="1100"/>
        </a:p>
      </xdr:txBody>
    </xdr:sp>
    <xdr:clientData/>
  </xdr:twoCellAnchor>
  <xdr:twoCellAnchor>
    <xdr:from>
      <xdr:col>5</xdr:col>
      <xdr:colOff>323849</xdr:colOff>
      <xdr:row>1</xdr:row>
      <xdr:rowOff>104775</xdr:rowOff>
    </xdr:from>
    <xdr:to>
      <xdr:col>21</xdr:col>
      <xdr:colOff>257174</xdr:colOff>
      <xdr:row>4</xdr:row>
      <xdr:rowOff>76200</xdr:rowOff>
    </xdr:to>
    <xdr:sp macro="" textlink="">
      <xdr:nvSpPr>
        <xdr:cNvPr id="5" name="TextBox 4">
          <a:extLst>
            <a:ext uri="{FF2B5EF4-FFF2-40B4-BE49-F238E27FC236}">
              <a16:creationId xmlns:a16="http://schemas.microsoft.com/office/drawing/2014/main" id="{A222BB3E-FA25-E79A-3E80-98690C700CE2}"/>
            </a:ext>
          </a:extLst>
        </xdr:cNvPr>
        <xdr:cNvSpPr txBox="1"/>
      </xdr:nvSpPr>
      <xdr:spPr>
        <a:xfrm>
          <a:off x="2876549" y="161925"/>
          <a:ext cx="9686925" cy="54292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nb-NO" sz="3200" b="1"/>
            <a:t>COFFEE</a:t>
          </a:r>
          <a:r>
            <a:rPr lang="nb-NO" sz="3200" b="1" baseline="0"/>
            <a:t> SALES DASHBOARD </a:t>
          </a:r>
          <a:endParaRPr lang="nb-NO" sz="3200" b="1"/>
        </a:p>
      </xdr:txBody>
    </xdr:sp>
    <xdr:clientData/>
  </xdr:twoCellAnchor>
  <xdr:twoCellAnchor>
    <xdr:from>
      <xdr:col>1</xdr:col>
      <xdr:colOff>35718</xdr:colOff>
      <xdr:row>14</xdr:row>
      <xdr:rowOff>35717</xdr:rowOff>
    </xdr:from>
    <xdr:to>
      <xdr:col>11</xdr:col>
      <xdr:colOff>426245</xdr:colOff>
      <xdr:row>33</xdr:row>
      <xdr:rowOff>183356</xdr:rowOff>
    </xdr:to>
    <xdr:graphicFrame macro="">
      <xdr:nvGraphicFramePr>
        <xdr:cNvPr id="6" name="Chart 5">
          <a:extLst>
            <a:ext uri="{FF2B5EF4-FFF2-40B4-BE49-F238E27FC236}">
              <a16:creationId xmlns:a16="http://schemas.microsoft.com/office/drawing/2014/main" id="{48901CED-03A1-4924-917F-CCB7C5FCF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71437</xdr:colOff>
      <xdr:row>6</xdr:row>
      <xdr:rowOff>0</xdr:rowOff>
    </xdr:from>
    <xdr:to>
      <xdr:col>11</xdr:col>
      <xdr:colOff>461964</xdr:colOff>
      <xdr:row>13</xdr:row>
      <xdr:rowOff>38100</xdr:rowOff>
    </xdr:to>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6CB69CD3-7221-40AC-AD91-CB70B479397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90500" y="1012031"/>
              <a:ext cx="6462714" cy="1371600"/>
            </a:xfrm>
            <a:prstGeom prst="rect">
              <a:avLst/>
            </a:prstGeom>
            <a:solidFill>
              <a:prstClr val="white"/>
            </a:solidFill>
            <a:ln w="1">
              <a:solidFill>
                <a:prstClr val="green"/>
              </a:solidFill>
            </a:ln>
          </xdr:spPr>
          <xdr:txBody>
            <a:bodyPr vertOverflow="clip" horzOverflow="clip"/>
            <a:lstStyle/>
            <a:p>
              <a:r>
                <a:rPr lang="nb-NO" sz="1100"/>
                <a:t>Timeline: Works in Excel 2013 or higher. Do not move or resize.</a:t>
              </a:r>
            </a:p>
          </xdr:txBody>
        </xdr:sp>
      </mc:Fallback>
    </mc:AlternateContent>
    <xdr:clientData/>
  </xdr:twoCellAnchor>
  <xdr:twoCellAnchor editAs="oneCell">
    <xdr:from>
      <xdr:col>15</xdr:col>
      <xdr:colOff>135732</xdr:colOff>
      <xdr:row>6</xdr:row>
      <xdr:rowOff>19050</xdr:rowOff>
    </xdr:from>
    <xdr:to>
      <xdr:col>18</xdr:col>
      <xdr:colOff>135732</xdr:colOff>
      <xdr:row>14</xdr:row>
      <xdr:rowOff>28575</xdr:rowOff>
    </xdr:to>
    <mc:AlternateContent xmlns:mc="http://schemas.openxmlformats.org/markup-compatibility/2006" xmlns:a14="http://schemas.microsoft.com/office/drawing/2010/main">
      <mc:Choice Requires="a14">
        <xdr:graphicFrame macro="">
          <xdr:nvGraphicFramePr>
            <xdr:cNvPr id="8" name="Size">
              <a:extLst>
                <a:ext uri="{FF2B5EF4-FFF2-40B4-BE49-F238E27FC236}">
                  <a16:creationId xmlns:a16="http://schemas.microsoft.com/office/drawing/2014/main" id="{A315B284-8B3A-4AB7-9FE5-448305F396A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8755857" y="1031081"/>
              <a:ext cx="1821656" cy="1533525"/>
            </a:xfrm>
            <a:prstGeom prst="rect">
              <a:avLst/>
            </a:prstGeom>
            <a:solidFill>
              <a:prstClr val="white"/>
            </a:solidFill>
            <a:ln w="1">
              <a:solidFill>
                <a:prstClr val="green"/>
              </a:solidFill>
            </a:ln>
          </xdr:spPr>
          <xdr:txBody>
            <a:bodyPr vertOverflow="clip" horzOverflow="clip"/>
            <a:lstStyle/>
            <a:p>
              <a:r>
                <a:rPr lang="nb-N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28576</xdr:colOff>
      <xdr:row>6</xdr:row>
      <xdr:rowOff>23812</xdr:rowOff>
    </xdr:from>
    <xdr:to>
      <xdr:col>15</xdr:col>
      <xdr:colOff>28576</xdr:colOff>
      <xdr:row>14</xdr:row>
      <xdr:rowOff>52387</xdr:rowOff>
    </xdr:to>
    <mc:AlternateContent xmlns:mc="http://schemas.openxmlformats.org/markup-compatibility/2006" xmlns:a14="http://schemas.microsoft.com/office/drawing/2010/main">
      <mc:Choice Requires="a14">
        <xdr:graphicFrame macro="">
          <xdr:nvGraphicFramePr>
            <xdr:cNvPr id="9" name="Roast Type Name">
              <a:extLst>
                <a:ext uri="{FF2B5EF4-FFF2-40B4-BE49-F238E27FC236}">
                  <a16:creationId xmlns:a16="http://schemas.microsoft.com/office/drawing/2014/main" id="{E11BB555-BAD3-4C9D-8E21-4BDD3C3EAEAE}"/>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6827045" y="1035843"/>
              <a:ext cx="1821656" cy="1552575"/>
            </a:xfrm>
            <a:prstGeom prst="rect">
              <a:avLst/>
            </a:prstGeom>
            <a:solidFill>
              <a:prstClr val="white"/>
            </a:solidFill>
            <a:ln w="1">
              <a:solidFill>
                <a:prstClr val="green"/>
              </a:solidFill>
            </a:ln>
          </xdr:spPr>
          <xdr:txBody>
            <a:bodyPr vertOverflow="clip" horzOverflow="clip"/>
            <a:lstStyle/>
            <a:p>
              <a:r>
                <a:rPr lang="nb-N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23812</xdr:colOff>
      <xdr:row>14</xdr:row>
      <xdr:rowOff>161926</xdr:rowOff>
    </xdr:from>
    <xdr:to>
      <xdr:col>18</xdr:col>
      <xdr:colOff>154781</xdr:colOff>
      <xdr:row>18</xdr:row>
      <xdr:rowOff>114300</xdr:rowOff>
    </xdr:to>
    <mc:AlternateContent xmlns:mc="http://schemas.openxmlformats.org/markup-compatibility/2006" xmlns:a14="http://schemas.microsoft.com/office/drawing/2010/main">
      <mc:Choice Requires="a14">
        <xdr:graphicFrame macro="">
          <xdr:nvGraphicFramePr>
            <xdr:cNvPr id="10" name="Loyalty Card">
              <a:extLst>
                <a:ext uri="{FF2B5EF4-FFF2-40B4-BE49-F238E27FC236}">
                  <a16:creationId xmlns:a16="http://schemas.microsoft.com/office/drawing/2014/main" id="{D0C43C23-D422-470D-927C-FFC9039F675A}"/>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6822281" y="2697957"/>
              <a:ext cx="3774281" cy="714374"/>
            </a:xfrm>
            <a:prstGeom prst="rect">
              <a:avLst/>
            </a:prstGeom>
            <a:solidFill>
              <a:prstClr val="white"/>
            </a:solidFill>
            <a:ln w="1">
              <a:solidFill>
                <a:prstClr val="green"/>
              </a:solidFill>
            </a:ln>
          </xdr:spPr>
          <xdr:txBody>
            <a:bodyPr vertOverflow="clip" horzOverflow="clip"/>
            <a:lstStyle/>
            <a:p>
              <a:r>
                <a:rPr lang="nb-N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602456</xdr:colOff>
      <xdr:row>19</xdr:row>
      <xdr:rowOff>71438</xdr:rowOff>
    </xdr:from>
    <xdr:to>
      <xdr:col>25</xdr:col>
      <xdr:colOff>488156</xdr:colOff>
      <xdr:row>33</xdr:row>
      <xdr:rowOff>166688</xdr:rowOff>
    </xdr:to>
    <xdr:graphicFrame macro="">
      <xdr:nvGraphicFramePr>
        <xdr:cNvPr id="11" name="Chart 10">
          <a:extLst>
            <a:ext uri="{FF2B5EF4-FFF2-40B4-BE49-F238E27FC236}">
              <a16:creationId xmlns:a16="http://schemas.microsoft.com/office/drawing/2014/main" id="{0685E902-D74B-4AAE-8204-3AAFA430EC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238125</xdr:colOff>
      <xdr:row>6</xdr:row>
      <xdr:rowOff>23813</xdr:rowOff>
    </xdr:from>
    <xdr:to>
      <xdr:col>25</xdr:col>
      <xdr:colOff>511968</xdr:colOff>
      <xdr:row>19</xdr:row>
      <xdr:rowOff>2</xdr:rowOff>
    </xdr:to>
    <xdr:graphicFrame macro="">
      <xdr:nvGraphicFramePr>
        <xdr:cNvPr id="12" name="Chart 11">
          <a:extLst>
            <a:ext uri="{FF2B5EF4-FFF2-40B4-BE49-F238E27FC236}">
              <a16:creationId xmlns:a16="http://schemas.microsoft.com/office/drawing/2014/main" id="{B255DB48-483F-4489-A546-EBCCE663E8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al Secici" refreshedDate="45311.944456365738" createdVersion="8" refreshedVersion="8" minRefreshableVersion="3" recordCount="1000" xr:uid="{C965AE2E-79E2-4A82-BF16-790186531B14}">
  <cacheSource type="worksheet">
    <worksheetSource name="Orders"/>
  </cacheSource>
  <cacheFields count="18">
    <cacheField name="Order ID" numFmtId="0">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 Type Name" numFmtId="0">
      <sharedItems count="4">
        <s v="Robic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i"/>
          <s v="jun"/>
          <s v="jul"/>
          <s v="aug"/>
          <s v="sep"/>
          <s v="okt"/>
          <s v="nov"/>
          <s v="des"/>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2380386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093F80-B208-4772-81DB-A3A7653675C4}"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5">
  <location ref="A3:F48" firstHeaderRow="1" firstDataRow="2" firstDataCol="2"/>
  <pivotFields count="18">
    <pivotField compact="0" outline="0" showAll="0" defaultSubtotal="0"/>
    <pivotField compact="0" numFmtId="14"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axis="axisCol" compact="0" outline="0" showAll="0" defaultSubtotal="0">
      <items count="4">
        <item x="2"/>
        <item x="1"/>
        <item x="3"/>
        <item x="0"/>
      </items>
    </pivotField>
    <pivotField compact="0" outline="0" showAll="0" defaultSubtotal="0">
      <items count="3">
        <item h="1" x="2"/>
        <item h="1"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2"/>
          </reference>
        </references>
      </pivotArea>
    </chartFormat>
    <chartFormat chart="4"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44"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2D5489-B5CD-4C82-83FC-DA9CEC6957A8}"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6" firstHeaderRow="1" firstDataRow="1" firstDataCol="1"/>
  <pivotFields count="18">
    <pivotField compact="0" outline="0" showAll="0" defaultSubtotal="0"/>
    <pivotField compact="0" numFmtId="14"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h="1" x="2"/>
        <item h="1"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v="2"/>
    </i>
    <i>
      <x/>
    </i>
  </rowItems>
  <colItems count="1">
    <i/>
  </colItems>
  <dataFields count="1">
    <dataField name="Sum of Sales" fld="12" baseField="0" baseItem="284" numFmtId="167"/>
  </dataFields>
  <chartFormats count="6">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7" count="1" selected="0">
            <x v="0"/>
          </reference>
        </references>
      </pivotArea>
    </chartFormat>
    <chartFormat chart="12" format="2">
      <pivotArea type="data" outline="0" fieldPosition="0">
        <references count="2">
          <reference field="4294967294" count="1" selected="0">
            <x v="0"/>
          </reference>
          <reference field="7" count="1" selected="0">
            <x v="2"/>
          </reference>
        </references>
      </pivotArea>
    </chartFormat>
    <chartFormat chart="12" format="3">
      <pivotArea type="data" outline="0" fieldPosition="0">
        <references count="2">
          <reference field="4294967294" count="1" selected="0">
            <x v="0"/>
          </reference>
          <reference field="7" count="1" selected="0">
            <x v="1"/>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1" type="dateBetween" evalOrder="-1" id="36"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03E528-3744-4DBF-826B-9A1F389399A6}"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9">
  <location ref="A3:B8" firstHeaderRow="1" firstDataRow="1" firstDataCol="1"/>
  <pivotFields count="18">
    <pivotField compact="0" outline="0" showAll="0" defaultSubtotal="0"/>
    <pivotField compact="0" numFmtId="14"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0"/>
        <item x="2"/>
        <item x="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h="1" x="2"/>
        <item h="1"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381"/>
    </i>
    <i>
      <x v="181"/>
    </i>
    <i>
      <x v="390"/>
    </i>
    <i>
      <x v="528"/>
    </i>
    <i>
      <x v="237"/>
    </i>
  </rowItems>
  <colItems count="1">
    <i/>
  </colItems>
  <dataFields count="1">
    <dataField name="Sum of Sales" fld="12" baseField="0" baseItem="284" numFmtId="167"/>
  </dataFields>
  <chartFormats count="4">
    <chartFormat chart="12"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37"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550A02F-A98F-4900-8EC1-6472A9DE1C0C}" sourceName="Size">
  <pivotTables>
    <pivotTable tabId="18" name="TotalSales"/>
    <pivotTable tabId="19" name="TotalSales"/>
    <pivotTable tabId="20" name="TotalSales"/>
  </pivotTables>
  <data>
    <tabular pivotCacheId="1238038612">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C69B5BC7-6898-4FE4-AAEB-165A237624A6}" sourceName="Roast Type Name">
  <pivotTables>
    <pivotTable tabId="18" name="TotalSales"/>
    <pivotTable tabId="19" name="TotalSales"/>
    <pivotTable tabId="20" name="TotalSales"/>
  </pivotTables>
  <data>
    <tabular pivotCacheId="1238038612">
      <items count="3">
        <i x="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BAF9E97-A00A-41D1-8200-FBCB7AA6B95A}" sourceName="Loyalty Card">
  <pivotTables>
    <pivotTable tabId="18" name="TotalSales"/>
    <pivotTable tabId="19" name="TotalSales"/>
    <pivotTable tabId="20" name="TotalSales"/>
  </pivotTables>
  <data>
    <tabular pivotCacheId="123803861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1D4ED849-73E4-4243-B69B-5BB3B31BCB06}" cache="Slicer_Size" caption="Size" columnCount="2" style="SlicerStyleOther2" rowHeight="241300"/>
  <slicer name="Roast Type Name" xr10:uid="{2370E6C0-E6AE-446F-B469-56DB1F0A694E}" cache="Slicer_Roast_Type_Name" caption="Roast Type Name" style="SlicerStyleOther2" rowHeight="241300"/>
  <slicer name="Loyalty Card" xr10:uid="{3B9477FE-5878-4DEB-BC6D-B03034DEA90B}" cache="Slicer_Loyalty_Card" caption="Loyalty Card" columnCount="2"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EF7B08-07E7-4A08-B791-4C0572563977}" name="Orders" displayName="Orders" ref="A1:P1001" totalsRowShown="0" headerRowDxfId="11">
  <autoFilter ref="A1:P1001" xr:uid="{87EF7B08-07E7-4A08-B791-4C0572563977}"/>
  <tableColumns count="16">
    <tableColumn id="1" xr3:uid="{8CA4970A-597D-4EFB-BF07-7AAB18D87371}" name="Order ID" dataDxfId="10"/>
    <tableColumn id="2" xr3:uid="{C519C29C-9B65-4FA2-A885-835C13811542}" name="Order Date" dataDxfId="9"/>
    <tableColumn id="3" xr3:uid="{8809A1A4-6A39-40BA-8E0A-27B9F2AC25D2}" name="Customer ID" dataDxfId="8"/>
    <tableColumn id="4" xr3:uid="{A1C6FE09-7BB3-4A07-B3F7-63A88F3A462B}" name="Product ID"/>
    <tableColumn id="5" xr3:uid="{BB2D5AB1-F925-46A4-8959-5B52ABB2348D}" name="Quantity" dataDxfId="7"/>
    <tableColumn id="6" xr3:uid="{6A009CBA-B2A2-4380-8B79-9C0D34D2D2A4}" name="Customer Name" dataDxfId="6">
      <calculatedColumnFormula>_xlfn.XLOOKUP(C2,customers!$A$1:$A$1001,customers!$B$1:$B$1001,,0)</calculatedColumnFormula>
    </tableColumn>
    <tableColumn id="7" xr3:uid="{E28DBF4D-254C-418A-A5FF-BBBABAA651F9}" name="Email" dataDxfId="5">
      <calculatedColumnFormula>IF(_xlfn.XLOOKUP(C2,customers!$A$1:$A$1001,customers!$C$1:$C$1001,,0)=0,"",_xlfn.XLOOKUP(C2,customers!$A$1:$A$1001,customers!$C$1:$C$1001,,0))</calculatedColumnFormula>
    </tableColumn>
    <tableColumn id="8" xr3:uid="{C39C670B-D754-4F36-8875-6E4655019F5A}" name="Country" dataDxfId="4">
      <calculatedColumnFormula>_xlfn.XLOOKUP(C2,customers!$A$1:$A$1001,customers!$G$1:$G$1001,,0)</calculatedColumnFormula>
    </tableColumn>
    <tableColumn id="9" xr3:uid="{92DA2BC7-6A8C-41B5-AB2A-E8ADFF3FDCAE}" name="Coffee Type">
      <calculatedColumnFormula>INDEX(products!$A$1:$G$49,MATCH(orders!$D2,products!$A$1:$A$49,0),MATCH(orders!I$1,products!$A$1:$G$1,0))</calculatedColumnFormula>
    </tableColumn>
    <tableColumn id="10" xr3:uid="{32FC47E0-10D9-4FE5-9617-6535B1016D0F}" name="Roast Type">
      <calculatedColumnFormula>INDEX(products!$A$1:$G$49,MATCH(orders!$D2,products!$A$1:$A$49,0),MATCH(orders!J$1,products!$A$1:$G$1,0))</calculatedColumnFormula>
    </tableColumn>
    <tableColumn id="11" xr3:uid="{2EFE7701-4FD6-49BE-8ACB-8D8B242D9E41}" name="Size" dataDxfId="3">
      <calculatedColumnFormula>INDEX(products!$A$1:$G$49,MATCH(orders!$D2,products!$A$1:$A$49,0),MATCH(orders!K$1,products!$A$1:$G$1,0))</calculatedColumnFormula>
    </tableColumn>
    <tableColumn id="12" xr3:uid="{B1E43457-859A-4116-9266-9BD6760C3711}" name="Unit Price" dataDxfId="2">
      <calculatedColumnFormula>INDEX(products!$A$1:$G$49,MATCH(orders!$D2,products!$A$1:$A$49,0),MATCH(orders!L$1,products!$A$1:$G$1,0))</calculatedColumnFormula>
    </tableColumn>
    <tableColumn id="13" xr3:uid="{9D1AC361-3BBC-4FC2-863D-D16428988FED}" name="Sales" dataDxfId="1">
      <calculatedColumnFormula>L2*E2</calculatedColumnFormula>
    </tableColumn>
    <tableColumn id="14" xr3:uid="{BDDB1234-530D-4997-B93C-C0CD8BF7AFA3}" name="Coffe Type Name">
      <calculatedColumnFormula>IF(I2="Rob","Robica",IF(I2="Exc","Excelsa",IF(I2="Ara","Arabica",IF(I2="Lib","Liberica",""))))</calculatedColumnFormula>
    </tableColumn>
    <tableColumn id="15" xr3:uid="{0B79B452-150A-43F2-BE0E-6BEE8B2BB0B6}" name="Roast Type Name">
      <calculatedColumnFormula>IF(J2="M","Medium",IF(J2="L","Light",IF(J2="D","Dark","")))</calculatedColumnFormula>
    </tableColumn>
    <tableColumn id="16" xr3:uid="{B857EFC1-FCD6-49C1-85BC-AACDF62BC212}"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0172028-308B-4817-AFE0-2D99667A040B}" sourceName="Order Date">
  <pivotTables>
    <pivotTable tabId="18" name="TotalSales"/>
    <pivotTable tabId="19" name="TotalSales"/>
    <pivotTable tabId="20" name="TotalSales"/>
  </pivotTables>
  <state minimalRefreshVersion="6" lastRefreshVersion="6" pivotCacheId="1238038612" filterType="dateBetween">
    <selection startDate="2019-01-01T00:00:00" endDate="2022-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13656EC-1D1B-4CBF-B0B0-C14E11441BF2}" cache="NativeTimeline_Order_Date" caption="Order Date" level="2" selectionLevel="0" scrollPosition="2021-10-06T00:00:00" style="TimeSlicerStyleLight5"/>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62DE2-BA66-451A-AC18-2656B8A4F0C3}">
  <dimension ref="A1"/>
  <sheetViews>
    <sheetView showGridLines="0" zoomScale="80" zoomScaleNormal="80" workbookViewId="0">
      <selection activeCell="AA27" sqref="AA27"/>
    </sheetView>
  </sheetViews>
  <sheetFormatPr defaultRowHeight="15" x14ac:dyDescent="0.25"/>
  <cols>
    <col min="1" max="1" width="1.7109375" customWidth="1"/>
  </cols>
  <sheetData>
    <row r="1" spans="1:1" ht="5.0999999999999996" customHeight="1" x14ac:dyDescent="0.25">
      <c r="A1" t="s">
        <v>6221</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02325-6FA9-4B20-AC09-CFB849751D68}">
  <dimension ref="A3:F48"/>
  <sheetViews>
    <sheetView topLeftCell="A4" workbookViewId="0">
      <selection activeCell="X33" sqref="X33"/>
    </sheetView>
  </sheetViews>
  <sheetFormatPr defaultRowHeight="15" x14ac:dyDescent="0.25"/>
  <cols>
    <col min="1" max="1" width="13.140625" bestFit="1" customWidth="1"/>
    <col min="2" max="2" width="22" bestFit="1" customWidth="1"/>
    <col min="3" max="3" width="18.7109375" bestFit="1" customWidth="1"/>
    <col min="4" max="4" width="7.42578125" bestFit="1" customWidth="1"/>
    <col min="5" max="5" width="7.85546875" bestFit="1" customWidth="1"/>
    <col min="6" max="6" width="6.85546875" bestFit="1" customWidth="1"/>
  </cols>
  <sheetData>
    <row r="3" spans="1:6" x14ac:dyDescent="0.25">
      <c r="A3" s="6" t="s">
        <v>6198</v>
      </c>
      <c r="C3" s="6" t="s">
        <v>6196</v>
      </c>
    </row>
    <row r="4" spans="1:6" x14ac:dyDescent="0.25">
      <c r="A4" s="6" t="s">
        <v>6219</v>
      </c>
      <c r="B4" s="6" t="s">
        <v>6220</v>
      </c>
      <c r="C4" t="s">
        <v>6199</v>
      </c>
      <c r="D4" t="s">
        <v>6200</v>
      </c>
      <c r="E4" t="s">
        <v>6201</v>
      </c>
      <c r="F4" t="s">
        <v>6202</v>
      </c>
    </row>
    <row r="5" spans="1:6" x14ac:dyDescent="0.25">
      <c r="A5" t="s">
        <v>6203</v>
      </c>
      <c r="B5" t="s">
        <v>6204</v>
      </c>
      <c r="C5" s="7">
        <v>40.5</v>
      </c>
      <c r="D5" s="7">
        <v>33</v>
      </c>
      <c r="E5" s="7"/>
      <c r="F5" s="7">
        <v>101.49</v>
      </c>
    </row>
    <row r="6" spans="1:6" x14ac:dyDescent="0.25">
      <c r="B6" t="s">
        <v>6205</v>
      </c>
      <c r="C6" s="7">
        <v>49.5</v>
      </c>
      <c r="D6" s="7">
        <v>96.25</v>
      </c>
      <c r="E6" s="7">
        <v>68.384999999999991</v>
      </c>
      <c r="F6" s="7"/>
    </row>
    <row r="7" spans="1:6" x14ac:dyDescent="0.25">
      <c r="B7" t="s">
        <v>6206</v>
      </c>
      <c r="C7" s="7">
        <v>165.375</v>
      </c>
      <c r="D7" s="7">
        <v>104.5</v>
      </c>
      <c r="E7" s="7">
        <v>186.23999999999998</v>
      </c>
      <c r="F7" s="7">
        <v>17.91</v>
      </c>
    </row>
    <row r="8" spans="1:6" x14ac:dyDescent="0.25">
      <c r="B8" t="s">
        <v>6207</v>
      </c>
      <c r="C8" s="7">
        <v>195.74999999999997</v>
      </c>
      <c r="D8" s="7"/>
      <c r="E8" s="7">
        <v>240.07499999999999</v>
      </c>
      <c r="F8" s="7">
        <v>17.91</v>
      </c>
    </row>
    <row r="9" spans="1:6" x14ac:dyDescent="0.25">
      <c r="B9" t="s">
        <v>6208</v>
      </c>
      <c r="C9" s="7"/>
      <c r="D9" s="7"/>
      <c r="E9" s="7">
        <v>48.015000000000001</v>
      </c>
      <c r="F9" s="7">
        <v>35.82</v>
      </c>
    </row>
    <row r="10" spans="1:6" x14ac:dyDescent="0.25">
      <c r="B10" t="s">
        <v>6209</v>
      </c>
      <c r="C10" s="7">
        <v>155.24999999999997</v>
      </c>
      <c r="D10" s="7">
        <v>325.87499999999994</v>
      </c>
      <c r="E10" s="7">
        <v>43.650000000000006</v>
      </c>
      <c r="F10" s="7">
        <v>29.849999999999998</v>
      </c>
    </row>
    <row r="11" spans="1:6" x14ac:dyDescent="0.25">
      <c r="B11" t="s">
        <v>6210</v>
      </c>
      <c r="C11" s="7"/>
      <c r="D11" s="7">
        <v>49.5</v>
      </c>
      <c r="E11" s="7"/>
      <c r="F11" s="7">
        <v>68.655000000000001</v>
      </c>
    </row>
    <row r="12" spans="1:6" x14ac:dyDescent="0.25">
      <c r="B12" t="s">
        <v>6211</v>
      </c>
      <c r="C12" s="7">
        <v>77.624999999999986</v>
      </c>
      <c r="D12" s="7">
        <v>41.25</v>
      </c>
      <c r="E12" s="7">
        <v>87.300000000000011</v>
      </c>
      <c r="F12" s="7">
        <v>77.61</v>
      </c>
    </row>
    <row r="13" spans="1:6" x14ac:dyDescent="0.25">
      <c r="B13" t="s">
        <v>6212</v>
      </c>
      <c r="C13" s="7"/>
      <c r="D13" s="7">
        <v>77</v>
      </c>
      <c r="E13" s="7">
        <v>200.78999999999996</v>
      </c>
      <c r="F13" s="7">
        <v>314.41999999999996</v>
      </c>
    </row>
    <row r="14" spans="1:6" x14ac:dyDescent="0.25">
      <c r="B14" t="s">
        <v>6213</v>
      </c>
      <c r="C14" s="7">
        <v>175.5</v>
      </c>
      <c r="D14" s="7"/>
      <c r="E14" s="7"/>
      <c r="F14" s="7">
        <v>48.754999999999995</v>
      </c>
    </row>
    <row r="15" spans="1:6" x14ac:dyDescent="0.25">
      <c r="B15" t="s">
        <v>6214</v>
      </c>
      <c r="C15" s="7">
        <v>84.375</v>
      </c>
      <c r="D15" s="7">
        <v>63.249999999999993</v>
      </c>
      <c r="E15" s="7">
        <v>88.754999999999995</v>
      </c>
      <c r="F15" s="7">
        <v>59.699999999999996</v>
      </c>
    </row>
    <row r="16" spans="1:6" x14ac:dyDescent="0.25">
      <c r="B16" t="s">
        <v>6215</v>
      </c>
      <c r="C16" s="7">
        <v>258.75</v>
      </c>
      <c r="D16" s="7">
        <v>8.25</v>
      </c>
      <c r="E16" s="7">
        <v>52.38000000000001</v>
      </c>
      <c r="F16" s="7"/>
    </row>
    <row r="17" spans="1:6" x14ac:dyDescent="0.25">
      <c r="A17" t="s">
        <v>6216</v>
      </c>
      <c r="B17" t="s">
        <v>6204</v>
      </c>
      <c r="C17" s="7">
        <v>47.25</v>
      </c>
      <c r="D17" s="7">
        <v>33</v>
      </c>
      <c r="E17" s="7">
        <v>50.924999999999997</v>
      </c>
      <c r="F17" s="7">
        <v>17.91</v>
      </c>
    </row>
    <row r="18" spans="1:6" x14ac:dyDescent="0.25">
      <c r="B18" t="s">
        <v>6205</v>
      </c>
      <c r="C18" s="7">
        <v>291.37499999999994</v>
      </c>
      <c r="D18" s="7">
        <v>81.125</v>
      </c>
      <c r="E18" s="7">
        <v>26.19</v>
      </c>
      <c r="F18" s="7">
        <v>17.91</v>
      </c>
    </row>
    <row r="19" spans="1:6" x14ac:dyDescent="0.25">
      <c r="B19" t="s">
        <v>6206</v>
      </c>
      <c r="C19" s="7">
        <v>54</v>
      </c>
      <c r="D19" s="7"/>
      <c r="E19" s="7">
        <v>61.110000000000007</v>
      </c>
      <c r="F19" s="7">
        <v>220.89000000000001</v>
      </c>
    </row>
    <row r="20" spans="1:6" x14ac:dyDescent="0.25">
      <c r="B20" t="s">
        <v>6207</v>
      </c>
      <c r="C20" s="7">
        <v>27</v>
      </c>
      <c r="D20" s="7">
        <v>269.5</v>
      </c>
      <c r="E20" s="7">
        <v>77.115000000000009</v>
      </c>
      <c r="F20" s="7">
        <v>144.27499999999998</v>
      </c>
    </row>
    <row r="21" spans="1:6" x14ac:dyDescent="0.25">
      <c r="B21" t="s">
        <v>6208</v>
      </c>
      <c r="C21" s="7">
        <v>118.12499999999999</v>
      </c>
      <c r="D21" s="7">
        <v>221.37499999999997</v>
      </c>
      <c r="E21" s="7">
        <v>59.655000000000001</v>
      </c>
      <c r="F21" s="7">
        <v>17.91</v>
      </c>
    </row>
    <row r="22" spans="1:6" x14ac:dyDescent="0.25">
      <c r="B22" t="s">
        <v>6209</v>
      </c>
      <c r="C22" s="7">
        <v>266.62499999999994</v>
      </c>
      <c r="D22" s="7">
        <v>145.75</v>
      </c>
      <c r="E22" s="7"/>
      <c r="F22" s="7">
        <v>22.884999999999998</v>
      </c>
    </row>
    <row r="23" spans="1:6" x14ac:dyDescent="0.25">
      <c r="B23" t="s">
        <v>6210</v>
      </c>
      <c r="C23" s="7">
        <v>51.75</v>
      </c>
      <c r="D23" s="7">
        <v>182.875</v>
      </c>
      <c r="E23" s="7">
        <v>104.76000000000002</v>
      </c>
      <c r="F23" s="7"/>
    </row>
    <row r="24" spans="1:6" x14ac:dyDescent="0.25">
      <c r="B24" t="s">
        <v>6211</v>
      </c>
      <c r="C24" s="7">
        <v>22.5</v>
      </c>
      <c r="D24" s="7">
        <v>27.5</v>
      </c>
      <c r="E24" s="7"/>
      <c r="F24" s="7">
        <v>17.91</v>
      </c>
    </row>
    <row r="25" spans="1:6" x14ac:dyDescent="0.25">
      <c r="B25" t="s">
        <v>6212</v>
      </c>
      <c r="C25" s="7">
        <v>6.75</v>
      </c>
      <c r="D25" s="7">
        <v>68.75</v>
      </c>
      <c r="E25" s="7">
        <v>17.46</v>
      </c>
      <c r="F25" s="7">
        <v>87.56</v>
      </c>
    </row>
    <row r="26" spans="1:6" x14ac:dyDescent="0.25">
      <c r="B26" t="s">
        <v>6213</v>
      </c>
      <c r="C26" s="7">
        <v>257.625</v>
      </c>
      <c r="D26" s="7">
        <v>162.25</v>
      </c>
      <c r="E26" s="7">
        <v>58.2</v>
      </c>
      <c r="F26" s="7"/>
    </row>
    <row r="27" spans="1:6" x14ac:dyDescent="0.25">
      <c r="B27" t="s">
        <v>6214</v>
      </c>
      <c r="C27" s="7">
        <v>258.74999999999994</v>
      </c>
      <c r="D27" s="7"/>
      <c r="E27" s="7">
        <v>39.285000000000004</v>
      </c>
      <c r="F27" s="7">
        <v>49.75</v>
      </c>
    </row>
    <row r="28" spans="1:6" x14ac:dyDescent="0.25">
      <c r="B28" t="s">
        <v>6215</v>
      </c>
      <c r="C28" s="7">
        <v>37.125</v>
      </c>
      <c r="D28" s="7">
        <v>72.875</v>
      </c>
      <c r="E28" s="7"/>
      <c r="F28" s="7">
        <v>63.679999999999993</v>
      </c>
    </row>
    <row r="29" spans="1:6" x14ac:dyDescent="0.25">
      <c r="A29" t="s">
        <v>6217</v>
      </c>
      <c r="B29" t="s">
        <v>6204</v>
      </c>
      <c r="C29" s="7">
        <v>217.125</v>
      </c>
      <c r="D29" s="7">
        <v>31.624999999999996</v>
      </c>
      <c r="E29" s="7">
        <v>43.650000000000006</v>
      </c>
      <c r="F29" s="7">
        <v>151.23999999999998</v>
      </c>
    </row>
    <row r="30" spans="1:6" x14ac:dyDescent="0.25">
      <c r="B30" t="s">
        <v>6205</v>
      </c>
      <c r="C30" s="7">
        <v>103.49999999999999</v>
      </c>
      <c r="D30" s="7">
        <v>41.25</v>
      </c>
      <c r="E30" s="7">
        <v>119.31</v>
      </c>
      <c r="F30" s="7"/>
    </row>
    <row r="31" spans="1:6" x14ac:dyDescent="0.25">
      <c r="B31" t="s">
        <v>6206</v>
      </c>
      <c r="C31" s="7">
        <v>13.5</v>
      </c>
      <c r="D31" s="7">
        <v>279.125</v>
      </c>
      <c r="E31" s="7">
        <v>168.78000000000003</v>
      </c>
      <c r="F31" s="7">
        <v>95.52</v>
      </c>
    </row>
    <row r="32" spans="1:6" x14ac:dyDescent="0.25">
      <c r="B32" t="s">
        <v>6207</v>
      </c>
      <c r="C32" s="7">
        <v>45</v>
      </c>
      <c r="D32" s="7">
        <v>145.75</v>
      </c>
      <c r="E32" s="7">
        <v>87.300000000000011</v>
      </c>
      <c r="F32" s="7"/>
    </row>
    <row r="33" spans="1:6" x14ac:dyDescent="0.25">
      <c r="B33" t="s">
        <v>6208</v>
      </c>
      <c r="C33" s="7">
        <v>193.5</v>
      </c>
      <c r="D33" s="7">
        <v>57.75</v>
      </c>
      <c r="E33" s="7"/>
      <c r="F33" s="7">
        <v>5.97</v>
      </c>
    </row>
    <row r="34" spans="1:6" x14ac:dyDescent="0.25">
      <c r="B34" t="s">
        <v>6209</v>
      </c>
      <c r="C34" s="7">
        <v>103.49999999999999</v>
      </c>
      <c r="D34" s="7">
        <v>81.125</v>
      </c>
      <c r="E34" s="7">
        <v>21.825000000000003</v>
      </c>
      <c r="F34" s="7">
        <v>5.97</v>
      </c>
    </row>
    <row r="35" spans="1:6" x14ac:dyDescent="0.25">
      <c r="B35" t="s">
        <v>6210</v>
      </c>
      <c r="C35" s="7">
        <v>63</v>
      </c>
      <c r="D35" s="7">
        <v>225.49999999999997</v>
      </c>
      <c r="E35" s="7">
        <v>8.73</v>
      </c>
      <c r="F35" s="7"/>
    </row>
    <row r="36" spans="1:6" x14ac:dyDescent="0.25">
      <c r="B36" t="s">
        <v>6211</v>
      </c>
      <c r="C36" s="7">
        <v>182.25</v>
      </c>
      <c r="D36" s="7">
        <v>121</v>
      </c>
      <c r="E36" s="7">
        <v>58.2</v>
      </c>
      <c r="F36" s="7">
        <v>114.42499999999998</v>
      </c>
    </row>
    <row r="37" spans="1:6" x14ac:dyDescent="0.25">
      <c r="B37" t="s">
        <v>6212</v>
      </c>
      <c r="C37" s="7">
        <v>242.99999999999997</v>
      </c>
      <c r="D37" s="7">
        <v>82.5</v>
      </c>
      <c r="E37" s="7">
        <v>74.205000000000013</v>
      </c>
      <c r="F37" s="7">
        <v>39.799999999999997</v>
      </c>
    </row>
    <row r="38" spans="1:6" x14ac:dyDescent="0.25">
      <c r="B38" t="s">
        <v>6213</v>
      </c>
      <c r="C38" s="7">
        <v>83.25</v>
      </c>
      <c r="D38" s="7">
        <v>136.125</v>
      </c>
      <c r="E38" s="7">
        <v>154.23000000000002</v>
      </c>
      <c r="F38" s="7">
        <v>130.345</v>
      </c>
    </row>
    <row r="39" spans="1:6" x14ac:dyDescent="0.25">
      <c r="B39" t="s">
        <v>6214</v>
      </c>
      <c r="C39" s="7">
        <v>78.75</v>
      </c>
      <c r="D39" s="7">
        <v>240.62499999999997</v>
      </c>
      <c r="E39" s="7">
        <v>244.44000000000003</v>
      </c>
      <c r="F39" s="7">
        <v>148.255</v>
      </c>
    </row>
    <row r="40" spans="1:6" x14ac:dyDescent="0.25">
      <c r="B40" t="s">
        <v>6215</v>
      </c>
      <c r="C40" s="7">
        <v>40.5</v>
      </c>
      <c r="D40" s="7">
        <v>20.625</v>
      </c>
      <c r="E40" s="7">
        <v>162.95999999999998</v>
      </c>
      <c r="F40" s="7"/>
    </row>
    <row r="41" spans="1:6" x14ac:dyDescent="0.25">
      <c r="A41" t="s">
        <v>6218</v>
      </c>
      <c r="B41" t="s">
        <v>6204</v>
      </c>
      <c r="C41" s="7">
        <v>85.5</v>
      </c>
      <c r="D41" s="7"/>
      <c r="E41" s="7">
        <v>344.83499999999992</v>
      </c>
      <c r="F41" s="7">
        <v>45.769999999999996</v>
      </c>
    </row>
    <row r="42" spans="1:6" x14ac:dyDescent="0.25">
      <c r="B42" t="s">
        <v>6205</v>
      </c>
      <c r="C42" s="7"/>
      <c r="D42" s="7">
        <v>53.625</v>
      </c>
      <c r="E42" s="7">
        <v>26.19</v>
      </c>
      <c r="F42" s="7">
        <v>17.91</v>
      </c>
    </row>
    <row r="43" spans="1:6" x14ac:dyDescent="0.25">
      <c r="B43" t="s">
        <v>6206</v>
      </c>
      <c r="C43" s="7">
        <v>51.75</v>
      </c>
      <c r="D43" s="7">
        <v>24.75</v>
      </c>
      <c r="E43" s="7">
        <v>181.875</v>
      </c>
      <c r="F43" s="7">
        <v>5.97</v>
      </c>
    </row>
    <row r="44" spans="1:6" x14ac:dyDescent="0.25">
      <c r="B44" t="s">
        <v>6207</v>
      </c>
      <c r="C44" s="7">
        <v>132.75</v>
      </c>
      <c r="D44" s="7">
        <v>24.75</v>
      </c>
      <c r="E44" s="7"/>
      <c r="F44" s="7">
        <v>59.699999999999996</v>
      </c>
    </row>
    <row r="45" spans="1:6" x14ac:dyDescent="0.25">
      <c r="B45" t="s">
        <v>6208</v>
      </c>
      <c r="C45" s="7">
        <v>70.875</v>
      </c>
      <c r="D45" s="7">
        <v>126.49999999999999</v>
      </c>
      <c r="E45" s="7">
        <v>162.95999999999998</v>
      </c>
      <c r="F45" s="7">
        <v>29.849999999999998</v>
      </c>
    </row>
    <row r="46" spans="1:6" x14ac:dyDescent="0.25">
      <c r="B46" t="s">
        <v>6209</v>
      </c>
      <c r="C46" s="7">
        <v>67.5</v>
      </c>
      <c r="D46" s="7">
        <v>126.49999999999999</v>
      </c>
      <c r="E46" s="7">
        <v>8.73</v>
      </c>
      <c r="F46" s="7">
        <v>211.93499999999997</v>
      </c>
    </row>
    <row r="47" spans="1:6" x14ac:dyDescent="0.25">
      <c r="B47" t="s">
        <v>6210</v>
      </c>
      <c r="C47" s="7">
        <v>72</v>
      </c>
      <c r="D47" s="7">
        <v>158.12499999999997</v>
      </c>
      <c r="E47" s="7">
        <v>13.095000000000001</v>
      </c>
      <c r="F47" s="7">
        <v>127.35999999999999</v>
      </c>
    </row>
    <row r="48" spans="1:6" x14ac:dyDescent="0.25">
      <c r="B48" t="s">
        <v>6211</v>
      </c>
      <c r="C48" s="7"/>
      <c r="D48" s="7">
        <v>41.25</v>
      </c>
      <c r="E48" s="7"/>
      <c r="F48" s="7">
        <v>14.924999999999999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BB963-D0FA-4091-889D-3BEB096FAAB4}">
  <dimension ref="A3:B6"/>
  <sheetViews>
    <sheetView zoomScaleNormal="100" workbookViewId="0">
      <selection activeCell="J26" sqref="J26"/>
    </sheetView>
  </sheetViews>
  <sheetFormatPr defaultRowHeight="15" x14ac:dyDescent="0.25"/>
  <cols>
    <col min="1" max="1" width="15.42578125" bestFit="1" customWidth="1"/>
    <col min="2" max="2" width="12.140625" bestFit="1" customWidth="1"/>
    <col min="3" max="3" width="7.42578125" bestFit="1" customWidth="1"/>
    <col min="4" max="4" width="7.85546875" bestFit="1" customWidth="1"/>
    <col min="5" max="6" width="6.85546875" bestFit="1" customWidth="1"/>
  </cols>
  <sheetData>
    <row r="3" spans="1:2" x14ac:dyDescent="0.25">
      <c r="A3" s="6" t="s">
        <v>7</v>
      </c>
      <c r="B3" t="s">
        <v>6198</v>
      </c>
    </row>
    <row r="4" spans="1:2" x14ac:dyDescent="0.25">
      <c r="A4" t="s">
        <v>28</v>
      </c>
      <c r="B4" s="8">
        <v>992.5400000000003</v>
      </c>
    </row>
    <row r="5" spans="1:2" x14ac:dyDescent="0.25">
      <c r="A5" t="s">
        <v>318</v>
      </c>
      <c r="B5" s="8">
        <v>1428.4850000000001</v>
      </c>
    </row>
    <row r="6" spans="1:2" x14ac:dyDescent="0.25">
      <c r="A6" t="s">
        <v>19</v>
      </c>
      <c r="B6" s="8">
        <v>12179.449999999992</v>
      </c>
    </row>
  </sheetData>
  <pageMargins left="0.7" right="0.7" top="0.75" bottom="0.75" header="0.3" footer="0.3"/>
  <pageSetup paperSize="9" orientation="portrait" horizontalDpi="360" verticalDpi="36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217D5-4210-465B-869B-32073B504417}">
  <dimension ref="A3:B8"/>
  <sheetViews>
    <sheetView zoomScaleNormal="100" workbookViewId="0">
      <selection activeCell="D35" sqref="D35"/>
    </sheetView>
  </sheetViews>
  <sheetFormatPr defaultRowHeight="15" x14ac:dyDescent="0.25"/>
  <cols>
    <col min="1" max="1" width="17.7109375" bestFit="1" customWidth="1"/>
    <col min="2" max="2" width="12.140625" bestFit="1" customWidth="1"/>
    <col min="3" max="3" width="7.42578125" bestFit="1" customWidth="1"/>
    <col min="4" max="4" width="7.85546875" bestFit="1" customWidth="1"/>
    <col min="5" max="6" width="6.85546875" bestFit="1" customWidth="1"/>
  </cols>
  <sheetData>
    <row r="3" spans="1:2" x14ac:dyDescent="0.25">
      <c r="A3" s="6" t="s">
        <v>4</v>
      </c>
      <c r="B3" t="s">
        <v>6198</v>
      </c>
    </row>
    <row r="4" spans="1:2" x14ac:dyDescent="0.25">
      <c r="A4" t="s">
        <v>5593</v>
      </c>
      <c r="B4" s="8">
        <v>158.12499999999997</v>
      </c>
    </row>
    <row r="5" spans="1:2" x14ac:dyDescent="0.25">
      <c r="A5" t="s">
        <v>2246</v>
      </c>
      <c r="B5" s="8">
        <v>189.74999999999997</v>
      </c>
    </row>
    <row r="6" spans="1:2" x14ac:dyDescent="0.25">
      <c r="A6" t="s">
        <v>3656</v>
      </c>
      <c r="B6" s="8">
        <v>189.74999999999997</v>
      </c>
    </row>
    <row r="7" spans="1:2" x14ac:dyDescent="0.25">
      <c r="A7" t="s">
        <v>2930</v>
      </c>
      <c r="B7" s="8">
        <v>200.78999999999996</v>
      </c>
    </row>
    <row r="8" spans="1:2" x14ac:dyDescent="0.25">
      <c r="A8" t="s">
        <v>5555</v>
      </c>
      <c r="B8" s="8">
        <v>251.12499999999997</v>
      </c>
    </row>
  </sheetData>
  <pageMargins left="0.7" right="0.7" top="0.75" bottom="0.75" header="0.3" footer="0.3"/>
  <pageSetup paperSize="9" orientation="portrait" horizontalDpi="360" verticalDpi="36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H1" zoomScale="80" zoomScaleNormal="80" workbookViewId="0">
      <selection activeCell="P3" sqref="P3"/>
    </sheetView>
  </sheetViews>
  <sheetFormatPr defaultRowHeight="15" x14ac:dyDescent="0.25"/>
  <cols>
    <col min="1" max="1" width="16.5703125" bestFit="1" customWidth="1"/>
    <col min="2" max="2" width="13" customWidth="1"/>
    <col min="3" max="3" width="17.42578125" bestFit="1" customWidth="1"/>
    <col min="4" max="4" width="12.28515625" customWidth="1"/>
    <col min="5" max="5" width="10.85546875" customWidth="1"/>
    <col min="6" max="6" width="26.5703125" bestFit="1" customWidth="1"/>
    <col min="7" max="7" width="43" bestFit="1" customWidth="1"/>
    <col min="8" max="8" width="17" bestFit="1" customWidth="1"/>
    <col min="9" max="9" width="13.7109375" customWidth="1"/>
    <col min="10" max="10" width="13" customWidth="1"/>
    <col min="11" max="11" width="6.85546875" customWidth="1"/>
    <col min="12" max="12" width="11.85546875" customWidth="1"/>
    <col min="13" max="13" width="9.42578125" bestFit="1" customWidth="1"/>
    <col min="14" max="14" width="18.5703125" customWidth="1"/>
    <col min="15" max="15" width="19" customWidth="1"/>
    <col min="16" max="16" width="15"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IF(I2="Rob","Robica",IF(I2="Exc","Excelsa",IF(I2="Ara","Arabica",IF(I2="Lib","Liberica",""))))</f>
        <v>Robica</v>
      </c>
      <c r="O2" t="str">
        <f>IF(J2="M","Medium",IF(J2="L","Light",IF(J2="D","Dark","")))</f>
        <v>Medium</v>
      </c>
      <c r="P2" t="str">
        <f>_xlfn.XLOOKUP(Orders[[#This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IF(I3="Rob","Robica",IF(I3="Exc","Excelsa",IF(I3="Ara","Arabica",IF(I3="Lib","Liberica",""))))</f>
        <v>Excelsa</v>
      </c>
      <c r="O3" t="str">
        <f t="shared" ref="O3:O66" si="2">IF(J3="M","Medium",IF(J3="L","Light",IF(J3="D","Dark","")))</f>
        <v>Medium</v>
      </c>
      <c r="P3" t="str">
        <f>_xlfn.XLOOKUP(Orders[[#This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Robica</v>
      </c>
      <c r="O6" t="str">
        <f t="shared" si="2"/>
        <v>Light</v>
      </c>
      <c r="P6" t="str">
        <f>_xlfn.XLOOKUP(Orders[[#This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Robica</v>
      </c>
      <c r="O10" t="str">
        <f t="shared" si="2"/>
        <v>Medium</v>
      </c>
      <c r="P10" t="str">
        <f>_xlfn.XLOOKUP(Orders[[#This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Robica</v>
      </c>
      <c r="O11" t="str">
        <f t="shared" si="2"/>
        <v>Medium</v>
      </c>
      <c r="P11" t="str">
        <f>_xlfn.XLOOKUP(Orders[[#This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Robica</v>
      </c>
      <c r="O14" t="str">
        <f t="shared" si="2"/>
        <v>Medium</v>
      </c>
      <c r="P14" t="str">
        <f>_xlfn.XLOOKUP(Orders[[#This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Robica</v>
      </c>
      <c r="O15" t="str">
        <f t="shared" si="2"/>
        <v>Dark</v>
      </c>
      <c r="P15" t="str">
        <f>_xlfn.XLOOKUP(Orders[[#This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Robica</v>
      </c>
      <c r="O17" t="str">
        <f t="shared" si="2"/>
        <v>Medium</v>
      </c>
      <c r="P17" t="str">
        <f>_xlfn.XLOOKUP(Orders[[#This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Robica</v>
      </c>
      <c r="O20" t="str">
        <f t="shared" si="2"/>
        <v>Dark</v>
      </c>
      <c r="P20" t="str">
        <f>_xlfn.XLOOKUP(Orders[[#This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Robica</v>
      </c>
      <c r="O24" t="str">
        <f t="shared" si="2"/>
        <v>Medium</v>
      </c>
      <c r="P24" t="str">
        <f>_xlfn.XLOOKUP(Orders[[#This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Robica</v>
      </c>
      <c r="O40" t="str">
        <f t="shared" si="2"/>
        <v>Medium</v>
      </c>
      <c r="P40" t="str">
        <f>_xlfn.XLOOKUP(Orders[[#This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Robica</v>
      </c>
      <c r="O41" t="str">
        <f t="shared" si="2"/>
        <v>Medium</v>
      </c>
      <c r="P41" t="str">
        <f>_xlfn.XLOOKUP(Orders[[#This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Robica</v>
      </c>
      <c r="O44" t="str">
        <f t="shared" si="2"/>
        <v>Dark</v>
      </c>
      <c r="P44" t="str">
        <f>_xlfn.XLOOKUP(Orders[[#This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Robica</v>
      </c>
      <c r="O54" t="str">
        <f t="shared" si="2"/>
        <v>Medium</v>
      </c>
      <c r="P54" t="str">
        <f>_xlfn.XLOOKUP(Orders[[#This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Robica</v>
      </c>
      <c r="O63" t="str">
        <f t="shared" si="2"/>
        <v>Dark</v>
      </c>
      <c r="P63" t="str">
        <f>_xlfn.XLOOKUP(Orders[[#This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Robica</v>
      </c>
      <c r="O66" t="str">
        <f t="shared" si="2"/>
        <v>Medium</v>
      </c>
      <c r="P66" t="str">
        <f>_xlfn.XLOOKUP(Orders[[#This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IF(I67="Rob","Robica",IF(I67="Exc","Excelsa",IF(I67="Ara","Arabica",IF(I67="Lib","Liberica",""))))</f>
        <v>Robica</v>
      </c>
      <c r="O67" t="str">
        <f t="shared" ref="O67:O130" si="5">IF(J67="M","Medium",IF(J67="L","Light",IF(J67="D","Dark","")))</f>
        <v>Dark</v>
      </c>
      <c r="P67" t="str">
        <f>_xlfn.XLOOKUP(Orders[[#This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Robica</v>
      </c>
      <c r="O68" t="str">
        <f t="shared" si="5"/>
        <v>Light</v>
      </c>
      <c r="P68" t="str">
        <f>_xlfn.XLOOKUP(Orders[[#This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Robica</v>
      </c>
      <c r="O70" t="str">
        <f t="shared" si="5"/>
        <v>Medium</v>
      </c>
      <c r="P70" t="str">
        <f>_xlfn.XLOOKUP(Orders[[#This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Robica</v>
      </c>
      <c r="O71" t="str">
        <f t="shared" si="5"/>
        <v>Medium</v>
      </c>
      <c r="P71" t="str">
        <f>_xlfn.XLOOKUP(Orders[[#This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Robica</v>
      </c>
      <c r="O77" t="str">
        <f t="shared" si="5"/>
        <v>Dark</v>
      </c>
      <c r="P77" t="str">
        <f>_xlfn.XLOOKUP(Orders[[#This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Robica</v>
      </c>
      <c r="O78" t="str">
        <f t="shared" si="5"/>
        <v>Light</v>
      </c>
      <c r="P78" t="str">
        <f>_xlfn.XLOOKUP(Orders[[#This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Robica</v>
      </c>
      <c r="O81" t="str">
        <f t="shared" si="5"/>
        <v>Light</v>
      </c>
      <c r="P81" t="str">
        <f>_xlfn.XLOOKUP(Orders[[#This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Robica</v>
      </c>
      <c r="O85" t="str">
        <f t="shared" si="5"/>
        <v>Dark</v>
      </c>
      <c r="P85" t="str">
        <f>_xlfn.XLOOKUP(Orders[[#This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Robica</v>
      </c>
      <c r="O90" t="str">
        <f t="shared" si="5"/>
        <v>Light</v>
      </c>
      <c r="P90" t="str">
        <f>_xlfn.XLOOKUP(Orders[[#This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Robica</v>
      </c>
      <c r="O105" t="str">
        <f t="shared" si="5"/>
        <v>Medium</v>
      </c>
      <c r="P105" t="str">
        <f>_xlfn.XLOOKUP(Orders[[#This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Robica</v>
      </c>
      <c r="O109" t="str">
        <f t="shared" si="5"/>
        <v>Medium</v>
      </c>
      <c r="P109" t="str">
        <f>_xlfn.XLOOKUP(Orders[[#This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Robica</v>
      </c>
      <c r="O113" t="str">
        <f t="shared" si="5"/>
        <v>Dark</v>
      </c>
      <c r="P113" t="str">
        <f>_xlfn.XLOOKUP(Orders[[#This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Robica</v>
      </c>
      <c r="O116" t="str">
        <f t="shared" si="5"/>
        <v>Light</v>
      </c>
      <c r="P116" t="str">
        <f>_xlfn.XLOOKUP(Orders[[#This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IF(I131="Rob","Robica",IF(I131="Exc","Excelsa",IF(I131="Ara","Arabica",IF(I131="Lib","Liberica",""))))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Robica</v>
      </c>
      <c r="O154" t="str">
        <f t="shared" si="8"/>
        <v>Medium</v>
      </c>
      <c r="P154" t="str">
        <f>_xlfn.XLOOKUP(Orders[[#This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Robica</v>
      </c>
      <c r="O155" t="str">
        <f t="shared" si="8"/>
        <v>Dark</v>
      </c>
      <c r="P155" t="str">
        <f>_xlfn.XLOOKUP(Orders[[#This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Robica</v>
      </c>
      <c r="O159" t="str">
        <f t="shared" si="8"/>
        <v>Dark</v>
      </c>
      <c r="P159" t="str">
        <f>_xlfn.XLOOKUP(Orders[[#This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Robica</v>
      </c>
      <c r="O160" t="str">
        <f t="shared" si="8"/>
        <v>Dark</v>
      </c>
      <c r="P160" t="str">
        <f>_xlfn.XLOOKUP(Orders[[#This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Robica</v>
      </c>
      <c r="O165" t="str">
        <f t="shared" si="8"/>
        <v>Dark</v>
      </c>
      <c r="P165" t="str">
        <f>_xlfn.XLOOKUP(Orders[[#This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Robica</v>
      </c>
      <c r="O167" t="str">
        <f t="shared" si="8"/>
        <v>Dark</v>
      </c>
      <c r="P167" t="str">
        <f>_xlfn.XLOOKUP(Orders[[#This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Robica</v>
      </c>
      <c r="O168" t="str">
        <f t="shared" si="8"/>
        <v>Dark</v>
      </c>
      <c r="P168" t="str">
        <f>_xlfn.XLOOKUP(Orders[[#This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Robica</v>
      </c>
      <c r="O171" t="str">
        <f t="shared" si="8"/>
        <v>Dark</v>
      </c>
      <c r="P171" t="str">
        <f>_xlfn.XLOOKUP(Orders[[#This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Robica</v>
      </c>
      <c r="O175" t="str">
        <f t="shared" si="8"/>
        <v>Medium</v>
      </c>
      <c r="P175" t="str">
        <f>_xlfn.XLOOKUP(Orders[[#This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Robica</v>
      </c>
      <c r="O179" t="str">
        <f t="shared" si="8"/>
        <v>Light</v>
      </c>
      <c r="P179" t="str">
        <f>_xlfn.XLOOKUP(Orders[[#This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Robica</v>
      </c>
      <c r="O184" t="str">
        <f t="shared" si="8"/>
        <v>Dark</v>
      </c>
      <c r="P184" t="str">
        <f>_xlfn.XLOOKUP(Orders[[#This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Robica</v>
      </c>
      <c r="O188" t="str">
        <f t="shared" si="8"/>
        <v>Medium</v>
      </c>
      <c r="P188" t="str">
        <f>_xlfn.XLOOKUP(Orders[[#This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IF(I195="Rob","Robica",IF(I195="Exc","Excelsa",IF(I195="Ara","Arabica",IF(I195="Lib","Liberica",""))))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Robica</v>
      </c>
      <c r="O207" t="str">
        <f t="shared" si="11"/>
        <v>Dark</v>
      </c>
      <c r="P207" t="str">
        <f>_xlfn.XLOOKUP(Orders[[#This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Robica</v>
      </c>
      <c r="O215" t="str">
        <f t="shared" si="11"/>
        <v>Dark</v>
      </c>
      <c r="P215" t="str">
        <f>_xlfn.XLOOKUP(Orders[[#This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Robica</v>
      </c>
      <c r="O221" t="str">
        <f t="shared" si="11"/>
        <v>Light</v>
      </c>
      <c r="P221" t="str">
        <f>_xlfn.XLOOKUP(Orders[[#This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Robica</v>
      </c>
      <c r="O222" t="str">
        <f t="shared" si="11"/>
        <v>Medium</v>
      </c>
      <c r="P222" t="str">
        <f>_xlfn.XLOOKUP(Orders[[#This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Robica</v>
      </c>
      <c r="O227" t="str">
        <f t="shared" si="11"/>
        <v>Light</v>
      </c>
      <c r="P227" t="str">
        <f>_xlfn.XLOOKUP(Orders[[#This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Robica</v>
      </c>
      <c r="O229" t="str">
        <f t="shared" si="11"/>
        <v>Dark</v>
      </c>
      <c r="P229" t="str">
        <f>_xlfn.XLOOKUP(Orders[[#This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Robica</v>
      </c>
      <c r="O230" t="str">
        <f t="shared" si="11"/>
        <v>Light</v>
      </c>
      <c r="P230" t="str">
        <f>_xlfn.XLOOKUP(Orders[[#This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Robica</v>
      </c>
      <c r="O239" t="str">
        <f t="shared" si="11"/>
        <v>Light</v>
      </c>
      <c r="P239" t="str">
        <f>_xlfn.XLOOKUP(Orders[[#This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Robica</v>
      </c>
      <c r="O240" t="str">
        <f t="shared" si="11"/>
        <v>Medium</v>
      </c>
      <c r="P240" t="str">
        <f>_xlfn.XLOOKUP(Orders[[#This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Robica</v>
      </c>
      <c r="O243" t="str">
        <f t="shared" si="11"/>
        <v>Medium</v>
      </c>
      <c r="P243" t="str">
        <f>_xlfn.XLOOKUP(Orders[[#This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Robica</v>
      </c>
      <c r="O249" t="str">
        <f t="shared" si="11"/>
        <v>Light</v>
      </c>
      <c r="P249" t="str">
        <f>_xlfn.XLOOKUP(Orders[[#This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Robica</v>
      </c>
      <c r="O252" t="str">
        <f t="shared" si="11"/>
        <v>Medium</v>
      </c>
      <c r="P252" t="str">
        <f>_xlfn.XLOOKUP(Orders[[#This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Robica</v>
      </c>
      <c r="O256" t="str">
        <f t="shared" si="11"/>
        <v>Light</v>
      </c>
      <c r="P256" t="str">
        <f>_xlfn.XLOOKUP(Orders[[#This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Robica</v>
      </c>
      <c r="O257" t="str">
        <f t="shared" si="11"/>
        <v>Light</v>
      </c>
      <c r="P257" t="str">
        <f>_xlfn.XLOOKUP(Orders[[#This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IF(I259="Rob","Robica",IF(I259="Exc","Excelsa",IF(I259="Ara","Arabica",IF(I259="Lib","Liberica",""))))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Robica</v>
      </c>
      <c r="O261" t="str">
        <f t="shared" si="14"/>
        <v>Medium</v>
      </c>
      <c r="P261" t="str">
        <f>_xlfn.XLOOKUP(Orders[[#This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Robica</v>
      </c>
      <c r="O262" t="str">
        <f t="shared" si="14"/>
        <v>Light</v>
      </c>
      <c r="P262" t="str">
        <f>_xlfn.XLOOKUP(Orders[[#This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Robica</v>
      </c>
      <c r="O263" t="str">
        <f t="shared" si="14"/>
        <v>Light</v>
      </c>
      <c r="P263" t="str">
        <f>_xlfn.XLOOKUP(Orders[[#This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Robica</v>
      </c>
      <c r="O266" t="str">
        <f t="shared" si="14"/>
        <v>Light</v>
      </c>
      <c r="P266" t="str">
        <f>_xlfn.XLOOKUP(Orders[[#This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Robica</v>
      </c>
      <c r="O274" t="str">
        <f t="shared" si="14"/>
        <v>Light</v>
      </c>
      <c r="P274" t="str">
        <f>_xlfn.XLOOKUP(Orders[[#This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Robica</v>
      </c>
      <c r="O278" t="str">
        <f t="shared" si="14"/>
        <v>Light</v>
      </c>
      <c r="P278" t="str">
        <f>_xlfn.XLOOKUP(Orders[[#This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Robica</v>
      </c>
      <c r="O285" t="str">
        <f t="shared" si="14"/>
        <v>Dark</v>
      </c>
      <c r="P285" t="str">
        <f>_xlfn.XLOOKUP(Orders[[#This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Robica</v>
      </c>
      <c r="O289" t="str">
        <f t="shared" si="14"/>
        <v>Light</v>
      </c>
      <c r="P289" t="str">
        <f>_xlfn.XLOOKUP(Orders[[#This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Robica</v>
      </c>
      <c r="O291" t="str">
        <f t="shared" si="14"/>
        <v>Dark</v>
      </c>
      <c r="P291" t="str">
        <f>_xlfn.XLOOKUP(Orders[[#This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Robica</v>
      </c>
      <c r="O298" t="str">
        <f t="shared" si="14"/>
        <v>Medium</v>
      </c>
      <c r="P298" t="str">
        <f>_xlfn.XLOOKUP(Orders[[#This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Robica</v>
      </c>
      <c r="O299" t="str">
        <f t="shared" si="14"/>
        <v>Dark</v>
      </c>
      <c r="P299" t="str">
        <f>_xlfn.XLOOKUP(Orders[[#This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Robica</v>
      </c>
      <c r="O308" t="str">
        <f t="shared" si="14"/>
        <v>Medium</v>
      </c>
      <c r="P308" t="str">
        <f>_xlfn.XLOOKUP(Orders[[#This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Robica</v>
      </c>
      <c r="O314" t="str">
        <f t="shared" si="14"/>
        <v>Medium</v>
      </c>
      <c r="P314" t="str">
        <f>_xlfn.XLOOKUP(Orders[[#This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Robica</v>
      </c>
      <c r="O315" t="str">
        <f t="shared" si="14"/>
        <v>Medium</v>
      </c>
      <c r="P315" t="str">
        <f>_xlfn.XLOOKUP(Orders[[#This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Robica</v>
      </c>
      <c r="O316" t="str">
        <f t="shared" si="14"/>
        <v>Dark</v>
      </c>
      <c r="P316" t="str">
        <f>_xlfn.XLOOKUP(Orders[[#This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IF(I323="Rob","Robica",IF(I323="Exc","Excelsa",IF(I323="Ara","Arabica",IF(I323="Lib","Liberica",""))))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Robica</v>
      </c>
      <c r="O328" t="str">
        <f t="shared" si="17"/>
        <v>Dark</v>
      </c>
      <c r="P328" t="str">
        <f>_xlfn.XLOOKUP(Orders[[#This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Robica</v>
      </c>
      <c r="O329" t="str">
        <f t="shared" si="17"/>
        <v>Dark</v>
      </c>
      <c r="P329" t="str">
        <f>_xlfn.XLOOKUP(Orders[[#This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Robica</v>
      </c>
      <c r="O331" t="str">
        <f t="shared" si="17"/>
        <v>Dark</v>
      </c>
      <c r="P331" t="str">
        <f>_xlfn.XLOOKUP(Orders[[#This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Robica</v>
      </c>
      <c r="O332" t="str">
        <f t="shared" si="17"/>
        <v>Dark</v>
      </c>
      <c r="P332" t="str">
        <f>_xlfn.XLOOKUP(Orders[[#This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Robica</v>
      </c>
      <c r="O333" t="str">
        <f t="shared" si="17"/>
        <v>Medium</v>
      </c>
      <c r="P333" t="str">
        <f>_xlfn.XLOOKUP(Orders[[#This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Robica</v>
      </c>
      <c r="O335" t="str">
        <f t="shared" si="17"/>
        <v>Medium</v>
      </c>
      <c r="P335" t="str">
        <f>_xlfn.XLOOKUP(Orders[[#This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Robica</v>
      </c>
      <c r="O336" t="str">
        <f t="shared" si="17"/>
        <v>Light</v>
      </c>
      <c r="P336" t="str">
        <f>_xlfn.XLOOKUP(Orders[[#This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Robica</v>
      </c>
      <c r="O345" t="str">
        <f t="shared" si="17"/>
        <v>Dark</v>
      </c>
      <c r="P345" t="str">
        <f>_xlfn.XLOOKUP(Orders[[#This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Robica</v>
      </c>
      <c r="O346" t="str">
        <f t="shared" si="17"/>
        <v>Medium</v>
      </c>
      <c r="P346" t="str">
        <f>_xlfn.XLOOKUP(Orders[[#This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Robica</v>
      </c>
      <c r="O347" t="str">
        <f t="shared" si="17"/>
        <v>Light</v>
      </c>
      <c r="P347" t="str">
        <f>_xlfn.XLOOKUP(Orders[[#This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Robica</v>
      </c>
      <c r="O351" t="str">
        <f t="shared" si="17"/>
        <v>Light</v>
      </c>
      <c r="P351" t="str">
        <f>_xlfn.XLOOKUP(Orders[[#This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Robica</v>
      </c>
      <c r="O361" t="str">
        <f t="shared" si="17"/>
        <v>Light</v>
      </c>
      <c r="P361" t="str">
        <f>_xlfn.XLOOKUP(Orders[[#This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Robica</v>
      </c>
      <c r="O362" t="str">
        <f t="shared" si="17"/>
        <v>Dark</v>
      </c>
      <c r="P362" t="str">
        <f>_xlfn.XLOOKUP(Orders[[#This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Robica</v>
      </c>
      <c r="O363" t="str">
        <f t="shared" si="17"/>
        <v>Medium</v>
      </c>
      <c r="P363" t="str">
        <f>_xlfn.XLOOKUP(Orders[[#This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Robica</v>
      </c>
      <c r="O374" t="str">
        <f t="shared" si="17"/>
        <v>Light</v>
      </c>
      <c r="P374" t="str">
        <f>_xlfn.XLOOKUP(Orders[[#This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Robica</v>
      </c>
      <c r="O378" t="str">
        <f t="shared" si="17"/>
        <v>Medium</v>
      </c>
      <c r="P378" t="str">
        <f>_xlfn.XLOOKUP(Orders[[#This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Robica</v>
      </c>
      <c r="O379" t="str">
        <f t="shared" si="17"/>
        <v>Dark</v>
      </c>
      <c r="P379" t="str">
        <f>_xlfn.XLOOKUP(Orders[[#This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Robica</v>
      </c>
      <c r="O381" t="str">
        <f t="shared" si="17"/>
        <v>Light</v>
      </c>
      <c r="P381" t="str">
        <f>_xlfn.XLOOKUP(Orders[[#This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IF(I387="Rob","Robica",IF(I387="Exc","Excelsa",IF(I387="Ara","Arabica",IF(I387="Lib","Liberica",""))))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Robica</v>
      </c>
      <c r="O396" t="str">
        <f t="shared" si="20"/>
        <v>Light</v>
      </c>
      <c r="P396" t="str">
        <f>_xlfn.XLOOKUP(Orders[[#This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Robica</v>
      </c>
      <c r="O404" t="str">
        <f t="shared" si="20"/>
        <v>Dark</v>
      </c>
      <c r="P404" t="str">
        <f>_xlfn.XLOOKUP(Orders[[#This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Robica</v>
      </c>
      <c r="O416" t="str">
        <f t="shared" si="20"/>
        <v>Light</v>
      </c>
      <c r="P416" t="str">
        <f>_xlfn.XLOOKUP(Orders[[#This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Robica</v>
      </c>
      <c r="O417" t="str">
        <f t="shared" si="20"/>
        <v>Medium</v>
      </c>
      <c r="P417" t="str">
        <f>_xlfn.XLOOKUP(Orders[[#This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Robica</v>
      </c>
      <c r="O425" t="str">
        <f t="shared" si="20"/>
        <v>Medium</v>
      </c>
      <c r="P425" t="str">
        <f>_xlfn.XLOOKUP(Orders[[#This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Robica</v>
      </c>
      <c r="O427" t="str">
        <f t="shared" si="20"/>
        <v>Dark</v>
      </c>
      <c r="P427" t="str">
        <f>_xlfn.XLOOKUP(Orders[[#This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Robica</v>
      </c>
      <c r="O428" t="str">
        <f t="shared" si="20"/>
        <v>Light</v>
      </c>
      <c r="P428" t="str">
        <f>_xlfn.XLOOKUP(Orders[[#This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Robica</v>
      </c>
      <c r="O430" t="str">
        <f t="shared" si="20"/>
        <v>Light</v>
      </c>
      <c r="P430" t="str">
        <f>_xlfn.XLOOKUP(Orders[[#This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Robica</v>
      </c>
      <c r="O432" t="str">
        <f t="shared" si="20"/>
        <v>Dark</v>
      </c>
      <c r="P432" t="str">
        <f>_xlfn.XLOOKUP(Orders[[#This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Robica</v>
      </c>
      <c r="O444" t="str">
        <f t="shared" si="20"/>
        <v>Light</v>
      </c>
      <c r="P444" t="str">
        <f>_xlfn.XLOOKUP(Orders[[#This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Robica</v>
      </c>
      <c r="O449" t="str">
        <f t="shared" si="20"/>
        <v>Medium</v>
      </c>
      <c r="P449" t="str">
        <f>_xlfn.XLOOKUP(Orders[[#This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Robica</v>
      </c>
      <c r="O450" t="str">
        <f t="shared" si="20"/>
        <v>Light</v>
      </c>
      <c r="P450" t="str">
        <f>_xlfn.XLOOKUP(Orders[[#This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IF(I451="Rob","Robica",IF(I451="Exc","Excelsa",IF(I451="Ara","Arabica",IF(I451="Lib","Liberica",""))))</f>
        <v>Robica</v>
      </c>
      <c r="O451" t="str">
        <f t="shared" ref="O451:O514" si="23">IF(J451="M","Medium",IF(J451="L","Light",IF(J451="D","Dark","")))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Robica</v>
      </c>
      <c r="O453" t="str">
        <f t="shared" si="23"/>
        <v>Dark</v>
      </c>
      <c r="P453" t="str">
        <f>_xlfn.XLOOKUP(Orders[[#This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Robica</v>
      </c>
      <c r="O456" t="str">
        <f t="shared" si="23"/>
        <v>Dark</v>
      </c>
      <c r="P456" t="str">
        <f>_xlfn.XLOOKUP(Orders[[#This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Robica</v>
      </c>
      <c r="O458" t="str">
        <f t="shared" si="23"/>
        <v>Dark</v>
      </c>
      <c r="P458" t="str">
        <f>_xlfn.XLOOKUP(Orders[[#This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Robica</v>
      </c>
      <c r="O462" t="str">
        <f t="shared" si="23"/>
        <v>Dark</v>
      </c>
      <c r="P462" t="str">
        <f>_xlfn.XLOOKUP(Orders[[#This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Robica</v>
      </c>
      <c r="O463" t="str">
        <f t="shared" si="23"/>
        <v>Dark</v>
      </c>
      <c r="P463" t="str">
        <f>_xlfn.XLOOKUP(Orders[[#This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Robica</v>
      </c>
      <c r="O467" t="str">
        <f t="shared" si="23"/>
        <v>Dark</v>
      </c>
      <c r="P467" t="str">
        <f>_xlfn.XLOOKUP(Orders[[#This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Robica</v>
      </c>
      <c r="O480" t="str">
        <f t="shared" si="23"/>
        <v>Dark</v>
      </c>
      <c r="P480" t="str">
        <f>_xlfn.XLOOKUP(Orders[[#This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Robica</v>
      </c>
      <c r="O483" t="str">
        <f t="shared" si="23"/>
        <v>Light</v>
      </c>
      <c r="P483" t="str">
        <f>_xlfn.XLOOKUP(Orders[[#This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Robica</v>
      </c>
      <c r="O487" t="str">
        <f t="shared" si="23"/>
        <v>Light</v>
      </c>
      <c r="P487" t="str">
        <f>_xlfn.XLOOKUP(Orders[[#This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Robica</v>
      </c>
      <c r="O490" t="str">
        <f t="shared" si="23"/>
        <v>Medium</v>
      </c>
      <c r="P490" t="str">
        <f>_xlfn.XLOOKUP(Orders[[#This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Robica</v>
      </c>
      <c r="O495" t="str">
        <f t="shared" si="23"/>
        <v>Medium</v>
      </c>
      <c r="P495" t="str">
        <f>_xlfn.XLOOKUP(Orders[[#This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Robica</v>
      </c>
      <c r="O500" t="str">
        <f t="shared" si="23"/>
        <v>Medium</v>
      </c>
      <c r="P500" t="str">
        <f>_xlfn.XLOOKUP(Orders[[#This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Robica</v>
      </c>
      <c r="O501" t="str">
        <f t="shared" si="23"/>
        <v>Dark</v>
      </c>
      <c r="P501" t="str">
        <f>_xlfn.XLOOKUP(Orders[[#This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Robica</v>
      </c>
      <c r="O502" t="str">
        <f t="shared" si="23"/>
        <v>Light</v>
      </c>
      <c r="P502" t="str">
        <f>_xlfn.XLOOKUP(Orders[[#This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Robica</v>
      </c>
      <c r="O503" t="str">
        <f t="shared" si="23"/>
        <v>Medium</v>
      </c>
      <c r="P503" t="str">
        <f>_xlfn.XLOOKUP(Orders[[#This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Robica</v>
      </c>
      <c r="O512" t="str">
        <f t="shared" si="23"/>
        <v>Light</v>
      </c>
      <c r="P512" t="str">
        <f>_xlfn.XLOOKUP(Orders[[#This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IF(I515="Rob","Robica",IF(I515="Exc","Excelsa",IF(I515="Ara","Arabica",IF(I515="Lib","Liberica",""))))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Robica</v>
      </c>
      <c r="O517" t="str">
        <f t="shared" si="26"/>
        <v>Light</v>
      </c>
      <c r="P517" t="str">
        <f>_xlfn.XLOOKUP(Orders[[#This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Robica</v>
      </c>
      <c r="O518" t="str">
        <f t="shared" si="26"/>
        <v>Dark</v>
      </c>
      <c r="P518" t="str">
        <f>_xlfn.XLOOKUP(Orders[[#This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Robica</v>
      </c>
      <c r="O523" t="str">
        <f t="shared" si="26"/>
        <v>Medium</v>
      </c>
      <c r="P523" t="str">
        <f>_xlfn.XLOOKUP(Orders[[#This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Robica</v>
      </c>
      <c r="O524" t="str">
        <f t="shared" si="26"/>
        <v>Medium</v>
      </c>
      <c r="P524" t="str">
        <f>_xlfn.XLOOKUP(Orders[[#This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Robica</v>
      </c>
      <c r="O527" t="str">
        <f t="shared" si="26"/>
        <v>Dark</v>
      </c>
      <c r="P527" t="str">
        <f>_xlfn.XLOOKUP(Orders[[#This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Robica</v>
      </c>
      <c r="O531" t="str">
        <f t="shared" si="26"/>
        <v>Medium</v>
      </c>
      <c r="P531" t="str">
        <f>_xlfn.XLOOKUP(Orders[[#This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Robica</v>
      </c>
      <c r="O532" t="str">
        <f t="shared" si="26"/>
        <v>Medium</v>
      </c>
      <c r="P532" t="str">
        <f>_xlfn.XLOOKUP(Orders[[#This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Robica</v>
      </c>
      <c r="O533" t="str">
        <f t="shared" si="26"/>
        <v>Dark</v>
      </c>
      <c r="P533" t="str">
        <f>_xlfn.XLOOKUP(Orders[[#This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Robica</v>
      </c>
      <c r="O535" t="str">
        <f t="shared" si="26"/>
        <v>Dark</v>
      </c>
      <c r="P535" t="str">
        <f>_xlfn.XLOOKUP(Orders[[#This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Robica</v>
      </c>
      <c r="O536" t="str">
        <f t="shared" si="26"/>
        <v>Medium</v>
      </c>
      <c r="P536" t="str">
        <f>_xlfn.XLOOKUP(Orders[[#This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Robica</v>
      </c>
      <c r="O538" t="str">
        <f t="shared" si="26"/>
        <v>Dark</v>
      </c>
      <c r="P538" t="str">
        <f>_xlfn.XLOOKUP(Orders[[#This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Robica</v>
      </c>
      <c r="O540" t="str">
        <f t="shared" si="26"/>
        <v>Dark</v>
      </c>
      <c r="P540" t="str">
        <f>_xlfn.XLOOKUP(Orders[[#This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Robica</v>
      </c>
      <c r="O541" t="str">
        <f t="shared" si="26"/>
        <v>Dark</v>
      </c>
      <c r="P541" t="str">
        <f>_xlfn.XLOOKUP(Orders[[#This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Robica</v>
      </c>
      <c r="O545" t="str">
        <f t="shared" si="26"/>
        <v>Light</v>
      </c>
      <c r="P545" t="str">
        <f>_xlfn.XLOOKUP(Orders[[#This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Robica</v>
      </c>
      <c r="O549" t="str">
        <f t="shared" si="26"/>
        <v>Light</v>
      </c>
      <c r="P549" t="str">
        <f>_xlfn.XLOOKUP(Orders[[#This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Robica</v>
      </c>
      <c r="O556" t="str">
        <f t="shared" si="26"/>
        <v>Light</v>
      </c>
      <c r="P556" t="str">
        <f>_xlfn.XLOOKUP(Orders[[#This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Robica</v>
      </c>
      <c r="O566" t="str">
        <f t="shared" si="26"/>
        <v>Light</v>
      </c>
      <c r="P566" t="str">
        <f>_xlfn.XLOOKUP(Orders[[#This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Robica</v>
      </c>
      <c r="O567" t="str">
        <f t="shared" si="26"/>
        <v>Dark</v>
      </c>
      <c r="P567" t="str">
        <f>_xlfn.XLOOKUP(Orders[[#This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Robica</v>
      </c>
      <c r="O569" t="str">
        <f t="shared" si="26"/>
        <v>Light</v>
      </c>
      <c r="P569" t="str">
        <f>_xlfn.XLOOKUP(Orders[[#This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Robica</v>
      </c>
      <c r="O576" t="str">
        <f t="shared" si="26"/>
        <v>Light</v>
      </c>
      <c r="P576" t="str">
        <f>_xlfn.XLOOKUP(Orders[[#This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IF(I579="Rob","Robica",IF(I579="Exc","Excelsa",IF(I579="Ara","Arabica",IF(I579="Lib","Liberica",""))))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Robica</v>
      </c>
      <c r="O585" t="str">
        <f t="shared" si="29"/>
        <v>Light</v>
      </c>
      <c r="P585" t="str">
        <f>_xlfn.XLOOKUP(Orders[[#This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Robica</v>
      </c>
      <c r="O586" t="str">
        <f t="shared" si="29"/>
        <v>Light</v>
      </c>
      <c r="P586" t="str">
        <f>_xlfn.XLOOKUP(Orders[[#This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Robica</v>
      </c>
      <c r="O588" t="str">
        <f t="shared" si="29"/>
        <v>Light</v>
      </c>
      <c r="P588" t="str">
        <f>_xlfn.XLOOKUP(Orders[[#This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Robica</v>
      </c>
      <c r="O590" t="str">
        <f t="shared" si="29"/>
        <v>Medium</v>
      </c>
      <c r="P590" t="str">
        <f>_xlfn.XLOOKUP(Orders[[#This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Robica</v>
      </c>
      <c r="O593" t="str">
        <f t="shared" si="29"/>
        <v>Dark</v>
      </c>
      <c r="P593" t="str">
        <f>_xlfn.XLOOKUP(Orders[[#This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Robica</v>
      </c>
      <c r="O600" t="str">
        <f t="shared" si="29"/>
        <v>Medium</v>
      </c>
      <c r="P600" t="str">
        <f>_xlfn.XLOOKUP(Orders[[#This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Robica</v>
      </c>
      <c r="O603" t="str">
        <f t="shared" si="29"/>
        <v>Light</v>
      </c>
      <c r="P603" t="str">
        <f>_xlfn.XLOOKUP(Orders[[#This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Robica</v>
      </c>
      <c r="O605" t="str">
        <f t="shared" si="29"/>
        <v>Medium</v>
      </c>
      <c r="P605" t="str">
        <f>_xlfn.XLOOKUP(Orders[[#This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Robica</v>
      </c>
      <c r="O612" t="str">
        <f t="shared" si="29"/>
        <v>Medium</v>
      </c>
      <c r="P612" t="str">
        <f>_xlfn.XLOOKUP(Orders[[#This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Robica</v>
      </c>
      <c r="O615" t="str">
        <f t="shared" si="29"/>
        <v>Medium</v>
      </c>
      <c r="P615" t="str">
        <f>_xlfn.XLOOKUP(Orders[[#This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Robica</v>
      </c>
      <c r="O616" t="str">
        <f t="shared" si="29"/>
        <v>Medium</v>
      </c>
      <c r="P616" t="str">
        <f>_xlfn.XLOOKUP(Orders[[#This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Robica</v>
      </c>
      <c r="O627" t="str">
        <f t="shared" si="29"/>
        <v>Light</v>
      </c>
      <c r="P627" t="str">
        <f>_xlfn.XLOOKUP(Orders[[#This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Robica</v>
      </c>
      <c r="O633" t="str">
        <f t="shared" si="29"/>
        <v>Dark</v>
      </c>
      <c r="P633" t="str">
        <f>_xlfn.XLOOKUP(Orders[[#This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Robica</v>
      </c>
      <c r="O635" t="str">
        <f t="shared" si="29"/>
        <v>Light</v>
      </c>
      <c r="P635" t="str">
        <f>_xlfn.XLOOKUP(Orders[[#This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Robica</v>
      </c>
      <c r="O642" t="str">
        <f t="shared" si="29"/>
        <v>Light</v>
      </c>
      <c r="P642" t="str">
        <f>_xlfn.XLOOKUP(Orders[[#This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IF(I643="Rob","Robica",IF(I643="Exc","Excelsa",IF(I643="Ara","Arabica",IF(I643="Lib","Liberica",""))))</f>
        <v>Robica</v>
      </c>
      <c r="O643" t="str">
        <f t="shared" ref="O643:O706" si="32">IF(J643="M","Medium",IF(J643="L","Light",IF(J643="D","Dark","")))</f>
        <v>Light</v>
      </c>
      <c r="P643" t="str">
        <f>_xlfn.XLOOKUP(Orders[[#This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Robica</v>
      </c>
      <c r="O646" t="str">
        <f t="shared" si="32"/>
        <v>Dark</v>
      </c>
      <c r="P646" t="str">
        <f>_xlfn.XLOOKUP(Orders[[#This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Robica</v>
      </c>
      <c r="O650" t="str">
        <f t="shared" si="32"/>
        <v>Dark</v>
      </c>
      <c r="P650" t="str">
        <f>_xlfn.XLOOKUP(Orders[[#This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Robica</v>
      </c>
      <c r="O652" t="str">
        <f t="shared" si="32"/>
        <v>Dark</v>
      </c>
      <c r="P652" t="str">
        <f>_xlfn.XLOOKUP(Orders[[#This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Robica</v>
      </c>
      <c r="O653" t="str">
        <f t="shared" si="32"/>
        <v>Light</v>
      </c>
      <c r="P653" t="str">
        <f>_xlfn.XLOOKUP(Orders[[#This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Robica</v>
      </c>
      <c r="O657" t="str">
        <f t="shared" si="32"/>
        <v>Medium</v>
      </c>
      <c r="P657" t="str">
        <f>_xlfn.XLOOKUP(Orders[[#This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Robica</v>
      </c>
      <c r="O670" t="str">
        <f t="shared" si="32"/>
        <v>Light</v>
      </c>
      <c r="P670" t="str">
        <f>_xlfn.XLOOKUP(Orders[[#This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Robica</v>
      </c>
      <c r="O673" t="str">
        <f t="shared" si="32"/>
        <v>Light</v>
      </c>
      <c r="P673" t="str">
        <f>_xlfn.XLOOKUP(Orders[[#This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Robica</v>
      </c>
      <c r="O681" t="str">
        <f t="shared" si="32"/>
        <v>Light</v>
      </c>
      <c r="P681" t="str">
        <f>_xlfn.XLOOKUP(Orders[[#This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Robica</v>
      </c>
      <c r="O686" t="str">
        <f t="shared" si="32"/>
        <v>Light</v>
      </c>
      <c r="P686" t="str">
        <f>_xlfn.XLOOKUP(Orders[[#This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Robica</v>
      </c>
      <c r="O688" t="str">
        <f t="shared" si="32"/>
        <v>Dark</v>
      </c>
      <c r="P688" t="str">
        <f>_xlfn.XLOOKUP(Orders[[#This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IF(I707="Rob","Robica",IF(I707="Exc","Excelsa",IF(I707="Ara","Arabica",IF(I707="Lib","Liberica",""))))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Robica</v>
      </c>
      <c r="O713" t="str">
        <f t="shared" si="35"/>
        <v>Medium</v>
      </c>
      <c r="P713" t="str">
        <f>_xlfn.XLOOKUP(Orders[[#This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Robica</v>
      </c>
      <c r="O715" t="str">
        <f t="shared" si="35"/>
        <v>Medium</v>
      </c>
      <c r="P715" t="str">
        <f>_xlfn.XLOOKUP(Orders[[#This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Robica</v>
      </c>
      <c r="O718" t="str">
        <f t="shared" si="35"/>
        <v>Light</v>
      </c>
      <c r="P718" t="str">
        <f>_xlfn.XLOOKUP(Orders[[#This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Robica</v>
      </c>
      <c r="O723" t="str">
        <f t="shared" si="35"/>
        <v>Medium</v>
      </c>
      <c r="P723" t="str">
        <f>_xlfn.XLOOKUP(Orders[[#This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Robica</v>
      </c>
      <c r="O729" t="str">
        <f t="shared" si="35"/>
        <v>Medium</v>
      </c>
      <c r="P729" t="str">
        <f>_xlfn.XLOOKUP(Orders[[#This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Robica</v>
      </c>
      <c r="O736" t="str">
        <f t="shared" si="35"/>
        <v>Dark</v>
      </c>
      <c r="P736" t="str">
        <f>_xlfn.XLOOKUP(Orders[[#This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Robica</v>
      </c>
      <c r="O740" t="str">
        <f t="shared" si="35"/>
        <v>Light</v>
      </c>
      <c r="P740" t="str">
        <f>_xlfn.XLOOKUP(Orders[[#This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Robica</v>
      </c>
      <c r="O742" t="str">
        <f t="shared" si="35"/>
        <v>Light</v>
      </c>
      <c r="P742" t="str">
        <f>_xlfn.XLOOKUP(Orders[[#This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Robica</v>
      </c>
      <c r="O746" t="str">
        <f t="shared" si="35"/>
        <v>Medium</v>
      </c>
      <c r="P746" t="str">
        <f>_xlfn.XLOOKUP(Orders[[#This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Robica</v>
      </c>
      <c r="O751" t="str">
        <f t="shared" si="35"/>
        <v>Dark</v>
      </c>
      <c r="P751" t="str">
        <f>_xlfn.XLOOKUP(Orders[[#This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Robica</v>
      </c>
      <c r="O752" t="str">
        <f t="shared" si="35"/>
        <v>Medium</v>
      </c>
      <c r="P752" t="str">
        <f>_xlfn.XLOOKUP(Orders[[#This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Robica</v>
      </c>
      <c r="O758" t="str">
        <f t="shared" si="35"/>
        <v>Dark</v>
      </c>
      <c r="P758" t="str">
        <f>_xlfn.XLOOKUP(Orders[[#This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Robica</v>
      </c>
      <c r="O760" t="str">
        <f t="shared" si="35"/>
        <v>Dark</v>
      </c>
      <c r="P760" t="str">
        <f>_xlfn.XLOOKUP(Orders[[#This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Robica</v>
      </c>
      <c r="O767" t="str">
        <f t="shared" si="35"/>
        <v>Medium</v>
      </c>
      <c r="P767" t="str">
        <f>_xlfn.XLOOKUP(Orders[[#This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Robica</v>
      </c>
      <c r="O770" t="str">
        <f t="shared" si="35"/>
        <v>Light</v>
      </c>
      <c r="P770" t="str">
        <f>_xlfn.XLOOKUP(Orders[[#This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IF(I771="Rob","Robica",IF(I771="Exc","Excelsa",IF(I771="Ara","Arabica",IF(I771="Lib","Liberica",""))))</f>
        <v>Robica</v>
      </c>
      <c r="O771" t="str">
        <f t="shared" ref="O771:O834" si="38">IF(J771="M","Medium",IF(J771="L","Light",IF(J771="D","Dark","")))</f>
        <v>Medium</v>
      </c>
      <c r="P771" t="str">
        <f>_xlfn.XLOOKUP(Orders[[#This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Robica</v>
      </c>
      <c r="O773" t="str">
        <f t="shared" si="38"/>
        <v>Light</v>
      </c>
      <c r="P773" t="str">
        <f>_xlfn.XLOOKUP(Orders[[#This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Robica</v>
      </c>
      <c r="O776" t="str">
        <f t="shared" si="38"/>
        <v>Medium</v>
      </c>
      <c r="P776" t="str">
        <f>_xlfn.XLOOKUP(Orders[[#This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Robica</v>
      </c>
      <c r="O790" t="str">
        <f t="shared" si="38"/>
        <v>Medium</v>
      </c>
      <c r="P790" t="str">
        <f>_xlfn.XLOOKUP(Orders[[#This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Robica</v>
      </c>
      <c r="O795" t="str">
        <f t="shared" si="38"/>
        <v>Light</v>
      </c>
      <c r="P795" t="str">
        <f>_xlfn.XLOOKUP(Orders[[#This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Robica</v>
      </c>
      <c r="O797" t="str">
        <f t="shared" si="38"/>
        <v>Light</v>
      </c>
      <c r="P797" t="str">
        <f>_xlfn.XLOOKUP(Orders[[#This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Robica</v>
      </c>
      <c r="O800" t="str">
        <f t="shared" si="38"/>
        <v>Dark</v>
      </c>
      <c r="P800" t="str">
        <f>_xlfn.XLOOKUP(Orders[[#This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Robica</v>
      </c>
      <c r="O802" t="str">
        <f t="shared" si="38"/>
        <v>Dark</v>
      </c>
      <c r="P802" t="str">
        <f>_xlfn.XLOOKUP(Orders[[#This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Robica</v>
      </c>
      <c r="O803" t="str">
        <f t="shared" si="38"/>
        <v>Dark</v>
      </c>
      <c r="P803" t="str">
        <f>_xlfn.XLOOKUP(Orders[[#This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Robica</v>
      </c>
      <c r="O804" t="str">
        <f t="shared" si="38"/>
        <v>Dark</v>
      </c>
      <c r="P804" t="str">
        <f>_xlfn.XLOOKUP(Orders[[#This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Robica</v>
      </c>
      <c r="O806" t="str">
        <f t="shared" si="38"/>
        <v>Light</v>
      </c>
      <c r="P806" t="str">
        <f>_xlfn.XLOOKUP(Orders[[#This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Robica</v>
      </c>
      <c r="O807" t="str">
        <f t="shared" si="38"/>
        <v>Medium</v>
      </c>
      <c r="P807" t="str">
        <f>_xlfn.XLOOKUP(Orders[[#This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Robica</v>
      </c>
      <c r="O810" t="str">
        <f t="shared" si="38"/>
        <v>Light</v>
      </c>
      <c r="P810" t="str">
        <f>_xlfn.XLOOKUP(Orders[[#This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Robica</v>
      </c>
      <c r="O811" t="str">
        <f t="shared" si="38"/>
        <v>Dark</v>
      </c>
      <c r="P811" t="str">
        <f>_xlfn.XLOOKUP(Orders[[#This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Robica</v>
      </c>
      <c r="O817" t="str">
        <f t="shared" si="38"/>
        <v>Medium</v>
      </c>
      <c r="P817" t="str">
        <f>_xlfn.XLOOKUP(Orders[[#This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Robica</v>
      </c>
      <c r="O823" t="str">
        <f t="shared" si="38"/>
        <v>Dark</v>
      </c>
      <c r="P823" t="str">
        <f>_xlfn.XLOOKUP(Orders[[#This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Robica</v>
      </c>
      <c r="O834" t="str">
        <f t="shared" si="38"/>
        <v>Medium</v>
      </c>
      <c r="P834" t="str">
        <f>_xlfn.XLOOKUP(Orders[[#This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IF(I835="Rob","Robica",IF(I835="Exc","Excelsa",IF(I835="Ara","Arabica",IF(I835="Lib","Liberica",""))))</f>
        <v>Robica</v>
      </c>
      <c r="O835" t="str">
        <f t="shared" ref="O835:O898" si="41">IF(J835="M","Medium",IF(J835="L","Light",IF(J835="D","Dark","")))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Robica</v>
      </c>
      <c r="O842" t="str">
        <f t="shared" si="41"/>
        <v>Light</v>
      </c>
      <c r="P842" t="str">
        <f>_xlfn.XLOOKUP(Orders[[#This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Robica</v>
      </c>
      <c r="O856" t="str">
        <f t="shared" si="41"/>
        <v>Light</v>
      </c>
      <c r="P856" t="str">
        <f>_xlfn.XLOOKUP(Orders[[#This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Robica</v>
      </c>
      <c r="O859" t="str">
        <f t="shared" si="41"/>
        <v>Light</v>
      </c>
      <c r="P859" t="str">
        <f>_xlfn.XLOOKUP(Orders[[#This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Robica</v>
      </c>
      <c r="O864" t="str">
        <f t="shared" si="41"/>
        <v>Medium</v>
      </c>
      <c r="P864" t="str">
        <f>_xlfn.XLOOKUP(Orders[[#This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Robica</v>
      </c>
      <c r="O866" t="str">
        <f t="shared" si="41"/>
        <v>Light</v>
      </c>
      <c r="P866" t="str">
        <f>_xlfn.XLOOKUP(Orders[[#This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Robica</v>
      </c>
      <c r="O871" t="str">
        <f t="shared" si="41"/>
        <v>Medium</v>
      </c>
      <c r="P871" t="str">
        <f>_xlfn.XLOOKUP(Orders[[#This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Robica</v>
      </c>
      <c r="O875" t="str">
        <f t="shared" si="41"/>
        <v>Medium</v>
      </c>
      <c r="P875" t="str">
        <f>_xlfn.XLOOKUP(Orders[[#This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Robica</v>
      </c>
      <c r="O880" t="str">
        <f t="shared" si="41"/>
        <v>Light</v>
      </c>
      <c r="P880" t="str">
        <f>_xlfn.XLOOKUP(Orders[[#This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Robica</v>
      </c>
      <c r="O882" t="str">
        <f t="shared" si="41"/>
        <v>Light</v>
      </c>
      <c r="P882" t="str">
        <f>_xlfn.XLOOKUP(Orders[[#This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Robica</v>
      </c>
      <c r="O886" t="str">
        <f t="shared" si="41"/>
        <v>Dark</v>
      </c>
      <c r="P886" t="str">
        <f>_xlfn.XLOOKUP(Orders[[#This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Robica</v>
      </c>
      <c r="O887" t="str">
        <f t="shared" si="41"/>
        <v>Dark</v>
      </c>
      <c r="P887" t="str">
        <f>_xlfn.XLOOKUP(Orders[[#This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Robica</v>
      </c>
      <c r="O891" t="str">
        <f t="shared" si="41"/>
        <v>Dark</v>
      </c>
      <c r="P891" t="str">
        <f>_xlfn.XLOOKUP(Orders[[#This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Robica</v>
      </c>
      <c r="O892" t="str">
        <f t="shared" si="41"/>
        <v>Dark</v>
      </c>
      <c r="P892" t="str">
        <f>_xlfn.XLOOKUP(Orders[[#This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Robica</v>
      </c>
      <c r="O896" t="str">
        <f t="shared" si="41"/>
        <v>Dark</v>
      </c>
      <c r="P896" t="str">
        <f>_xlfn.XLOOKUP(Orders[[#This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Robica</v>
      </c>
      <c r="O898" t="str">
        <f t="shared" si="41"/>
        <v>Dark</v>
      </c>
      <c r="P898" t="str">
        <f>_xlfn.XLOOKUP(Orders[[#This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IF(I899="Rob","Robica",IF(I899="Exc","Excelsa",IF(I899="Ara","Arabica",IF(I899="Lib","Liberica",""))))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Robica</v>
      </c>
      <c r="O900" t="str">
        <f t="shared" si="44"/>
        <v>Light</v>
      </c>
      <c r="P900" t="str">
        <f>_xlfn.XLOOKUP(Orders[[#This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Robica</v>
      </c>
      <c r="O903" t="str">
        <f t="shared" si="44"/>
        <v>Light</v>
      </c>
      <c r="P903" t="str">
        <f>_xlfn.XLOOKUP(Orders[[#This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Robica</v>
      </c>
      <c r="O910" t="str">
        <f t="shared" si="44"/>
        <v>Light</v>
      </c>
      <c r="P910" t="str">
        <f>_xlfn.XLOOKUP(Orders[[#This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Robica</v>
      </c>
      <c r="O911" t="str">
        <f t="shared" si="44"/>
        <v>Light</v>
      </c>
      <c r="P911" t="str">
        <f>_xlfn.XLOOKUP(Orders[[#This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Robica</v>
      </c>
      <c r="O914" t="str">
        <f t="shared" si="44"/>
        <v>Medium</v>
      </c>
      <c r="P914" t="str">
        <f>_xlfn.XLOOKUP(Orders[[#This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Robica</v>
      </c>
      <c r="O921" t="str">
        <f t="shared" si="44"/>
        <v>Dark</v>
      </c>
      <c r="P921" t="str">
        <f>_xlfn.XLOOKUP(Orders[[#This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Robica</v>
      </c>
      <c r="O922" t="str">
        <f t="shared" si="44"/>
        <v>Dark</v>
      </c>
      <c r="P922" t="str">
        <f>_xlfn.XLOOKUP(Orders[[#This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Robica</v>
      </c>
      <c r="O935" t="str">
        <f t="shared" si="44"/>
        <v>Dark</v>
      </c>
      <c r="P935" t="str">
        <f>_xlfn.XLOOKUP(Orders[[#This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Robica</v>
      </c>
      <c r="O936" t="str">
        <f t="shared" si="44"/>
        <v>Medium</v>
      </c>
      <c r="P936" t="str">
        <f>_xlfn.XLOOKUP(Orders[[#This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Robica</v>
      </c>
      <c r="O939" t="str">
        <f t="shared" si="44"/>
        <v>Medium</v>
      </c>
      <c r="P939" t="str">
        <f>_xlfn.XLOOKUP(Orders[[#This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Robica</v>
      </c>
      <c r="O942" t="str">
        <f t="shared" si="44"/>
        <v>Light</v>
      </c>
      <c r="P942" t="str">
        <f>_xlfn.XLOOKUP(Orders[[#This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Robica</v>
      </c>
      <c r="O944" t="str">
        <f t="shared" si="44"/>
        <v>Light</v>
      </c>
      <c r="P944" t="str">
        <f>_xlfn.XLOOKUP(Orders[[#This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Robica</v>
      </c>
      <c r="O946" t="str">
        <f t="shared" si="44"/>
        <v>Light</v>
      </c>
      <c r="P946" t="str">
        <f>_xlfn.XLOOKUP(Orders[[#This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Robica</v>
      </c>
      <c r="O951" t="str">
        <f t="shared" si="44"/>
        <v>Light</v>
      </c>
      <c r="P951" t="str">
        <f>_xlfn.XLOOKUP(Orders[[#This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Robica</v>
      </c>
      <c r="O952" t="str">
        <f t="shared" si="44"/>
        <v>Light</v>
      </c>
      <c r="P952" t="str">
        <f>_xlfn.XLOOKUP(Orders[[#This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Robica</v>
      </c>
      <c r="O953" t="str">
        <f t="shared" si="44"/>
        <v>Light</v>
      </c>
      <c r="P953" t="str">
        <f>_xlfn.XLOOKUP(Orders[[#This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Robica</v>
      </c>
      <c r="O958" t="str">
        <f t="shared" si="44"/>
        <v>Light</v>
      </c>
      <c r="P958" t="str">
        <f>_xlfn.XLOOKUP(Orders[[#This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IF(I963="Rob","Robica",IF(I963="Exc","Excelsa",IF(I963="Ara","Arabica",IF(I963="Lib","Liberica",""))))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Robica</v>
      </c>
      <c r="O964" t="str">
        <f t="shared" si="47"/>
        <v>Dark</v>
      </c>
      <c r="P964" t="str">
        <f>_xlfn.XLOOKUP(Orders[[#This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Robica</v>
      </c>
      <c r="O965" t="str">
        <f t="shared" si="47"/>
        <v>Medium</v>
      </c>
      <c r="P965" t="str">
        <f>_xlfn.XLOOKUP(Orders[[#This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Robica</v>
      </c>
      <c r="O967" t="str">
        <f t="shared" si="47"/>
        <v>Medium</v>
      </c>
      <c r="P967" t="str">
        <f>_xlfn.XLOOKUP(Orders[[#This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Robica</v>
      </c>
      <c r="O969" t="str">
        <f t="shared" si="47"/>
        <v>Dark</v>
      </c>
      <c r="P969" t="str">
        <f>_xlfn.XLOOKUP(Orders[[#This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Robica</v>
      </c>
      <c r="O970" t="str">
        <f t="shared" si="47"/>
        <v>Medium</v>
      </c>
      <c r="P970" t="str">
        <f>_xlfn.XLOOKUP(Orders[[#This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Robica</v>
      </c>
      <c r="O976" t="str">
        <f t="shared" si="47"/>
        <v>Dark</v>
      </c>
      <c r="P976" t="str">
        <f>_xlfn.XLOOKUP(Orders[[#This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Robica</v>
      </c>
      <c r="O978" t="str">
        <f t="shared" si="47"/>
        <v>Light</v>
      </c>
      <c r="P978" t="str">
        <f>_xlfn.XLOOKUP(Orders[[#This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Robica</v>
      </c>
      <c r="O979" t="str">
        <f t="shared" si="47"/>
        <v>Light</v>
      </c>
      <c r="P979" t="str">
        <f>_xlfn.XLOOKUP(Orders[[#This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Robica</v>
      </c>
      <c r="O981" t="str">
        <f t="shared" si="47"/>
        <v>Dark</v>
      </c>
      <c r="P981" t="str">
        <f>_xlfn.XLOOKUP(Orders[[#This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Robica</v>
      </c>
      <c r="O984" t="str">
        <f t="shared" si="47"/>
        <v>Light</v>
      </c>
      <c r="P984" t="str">
        <f>_xlfn.XLOOKUP(Orders[[#This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Robica</v>
      </c>
      <c r="O987" t="str">
        <f t="shared" si="47"/>
        <v>Light</v>
      </c>
      <c r="P987" t="str">
        <f>_xlfn.XLOOKUP(Orders[[#This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Robica</v>
      </c>
      <c r="O990" t="str">
        <f t="shared" si="47"/>
        <v>Medium</v>
      </c>
      <c r="P990" t="str">
        <f>_xlfn.XLOOKUP(Orders[[#This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Robica</v>
      </c>
      <c r="O997" t="str">
        <f t="shared" si="47"/>
        <v>Light</v>
      </c>
      <c r="P997" t="str">
        <f>_xlfn.XLOOKUP(Orders[[#This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Robica</v>
      </c>
      <c r="O998" t="str">
        <f t="shared" si="47"/>
        <v>Medium</v>
      </c>
      <c r="P998" t="str">
        <f>_xlfn.XLOOKUP(Orders[[#This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abSelected="1"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Delal Secici</cp:lastModifiedBy>
  <cp:revision/>
  <dcterms:created xsi:type="dcterms:W3CDTF">2022-11-26T09:51:45Z</dcterms:created>
  <dcterms:modified xsi:type="dcterms:W3CDTF">2026-01-18T17:26:42Z</dcterms:modified>
  <cp:category/>
  <cp:contentStatus/>
</cp:coreProperties>
</file>